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albe/Library/Mobile Documents/com~apple~CloudDocs/PHD/projects/anarci_info_cdrs/data/"/>
    </mc:Choice>
  </mc:AlternateContent>
  <xr:revisionPtr revIDLastSave="0" documentId="13_ncr:9_{1B3CE4A8-274D-8146-ACD6-F8D8046B7D70}" xr6:coauthVersionLast="47" xr6:coauthVersionMax="47" xr10:uidLastSave="{00000000-0000-0000-0000-000000000000}"/>
  <bookViews>
    <workbookView xWindow="-40" yWindow="500" windowWidth="38400" windowHeight="19500" activeTab="1" xr2:uid="{DEA0456F-D838-464A-A122-EAEF155DE3CA}"/>
  </bookViews>
  <sheets>
    <sheet name="ha_antibody_complexes" sheetId="1" r:id="rId1"/>
    <sheet name="pdb_chain_sequences" sheetId="2" r:id="rId2"/>
    <sheet name="species_dict" sheetId="3" r:id="rId3"/>
  </sheets>
  <definedNames>
    <definedName name="_xlnm._FilterDatabase" localSheetId="0" hidden="1">ha_antibody_complexes!$A$1:$M$45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2" i="2"/>
</calcChain>
</file>

<file path=xl/sharedStrings.xml><?xml version="1.0" encoding="utf-8"?>
<sst xmlns="http://purl.oclc.org/ooxml/spreadsheetml/main" count="988" uniqueCount="448">
  <si>
    <t>PDB</t>
  </si>
  <si>
    <t>Antigen name</t>
  </si>
  <si>
    <t>Antigen species / Flu strain</t>
  </si>
  <si>
    <t>Year</t>
  </si>
  <si>
    <t>Organism (antibody source)</t>
  </si>
  <si>
    <t>Resolution (√Ö)</t>
  </si>
  <si>
    <t>Method</t>
  </si>
  <si>
    <t>Antibody name(s) / notes</t>
  </si>
  <si>
    <t>SAbDab URL</t>
  </si>
  <si>
    <t>RCSB URL</t>
  </si>
  <si>
    <t>VH/VL genes</t>
  </si>
  <si>
    <t>Cluster</t>
  </si>
  <si>
    <t>3GBN</t>
  </si>
  <si>
    <t>hemagglutinin H1</t>
  </si>
  <si>
    <t xml:space="preserve">influenza a virus (a/brevigmission/1/1918(h1n1)) </t>
  </si>
  <si>
    <t>Homo sapiens</t>
  </si>
  <si>
    <t>X-RAY DIFFRACTION</t>
  </si>
  <si>
    <t>CR6261</t>
  </si>
  <si>
    <t>https://opig.stats.ox.ac.uk/webapps/sabdab-sabpred/sabdab/structureviewer/?pdb=3gbn</t>
  </si>
  <si>
    <t>https://www.rcsb.org/structure/3gbn</t>
  </si>
  <si>
    <t>IGHV1; IGLV1; homo sapiens</t>
  </si>
  <si>
    <t>3gbnLH</t>
  </si>
  <si>
    <t>3LZF</t>
  </si>
  <si>
    <t>influenza A virus (A/South Carolina/1/1918 (H1N1))</t>
  </si>
  <si>
    <t>2D1</t>
  </si>
  <si>
    <t>https://opig.stats.ox.ac.uk/webapps/sabdab-sabpred/sabdab/structureviewer/?pdb=3lzf</t>
  </si>
  <si>
    <t>https://www.rcsb.org/structure/3lzf</t>
  </si>
  <si>
    <t>IGHV2; IGLV1; homo sapiens</t>
  </si>
  <si>
    <t>3lzfLH</t>
  </si>
  <si>
    <t>3ZTN</t>
  </si>
  <si>
    <t>influenza A virus(A/California/04/2009 (H1N1))</t>
  </si>
  <si>
    <t>FI6v3</t>
  </si>
  <si>
    <t>https://opig.stats.ox.ac.uk/webapps/sabdab-sabpred/sabdab/structureviewer/?pdb=3ztn</t>
  </si>
  <si>
    <t>https://www.rcsb.org/structure/3ztn</t>
  </si>
  <si>
    <t>IGHV3; IGKV4; homo sapiens</t>
  </si>
  <si>
    <t>3ztnLH</t>
  </si>
  <si>
    <t>4F15</t>
  </si>
  <si>
    <t>influenza A virus (A/Korea/01/2009 (H1N1))</t>
  </si>
  <si>
    <t>Mus Musculus</t>
  </si>
  <si>
    <t>https://opig.stats.ox.ac.uk/webapps/sabdab-sabpred/sabdab/structureviewer/?pdb=4f15</t>
  </si>
  <si>
    <t>https://www.rcsb.org/structure/4f15</t>
  </si>
  <si>
    <t>IGHV3; IGKV7; mus musculus</t>
  </si>
  <si>
    <t>4f15LK</t>
  </si>
  <si>
    <t>4GXU</t>
  </si>
  <si>
    <t>influenza A virus (A/Brevig Mission/1/1918 (H1N1))</t>
  </si>
  <si>
    <t>1F1</t>
  </si>
  <si>
    <t>https://opig.stats.ox.ac.uk/webapps/sabdab-sabpred/sabdab/structureviewer/?pdb=4gxu</t>
  </si>
  <si>
    <t>https://www.rcsb.org/structure/4gxu</t>
  </si>
  <si>
    <t>IGHV3; IGLV1; homo sapiens</t>
  </si>
  <si>
    <t>4gxuNM</t>
  </si>
  <si>
    <t>4HKX</t>
  </si>
  <si>
    <t>influenza A virus A/Solomon Islands/3/2006 (H1N1)</t>
  </si>
  <si>
    <t xml:space="preserve">CH67 </t>
  </si>
  <si>
    <t>https://opig.stats.ox.ac.uk/webapps/sabdab-sabpred/sabdab/structureviewer/?pdb=4hkx</t>
  </si>
  <si>
    <t>https://www.rcsb.org/structure/4hkx</t>
  </si>
  <si>
    <t>IGHV1; IGLV3; homo sapiens</t>
  </si>
  <si>
    <t>4hkxBA</t>
  </si>
  <si>
    <t>4LVH</t>
  </si>
  <si>
    <t>GC0587</t>
  </si>
  <si>
    <t>https://opig.stats.ox.ac.uk/webapps/sabdab-sabpred/sabdab/structureviewer/?pdb=4lvh</t>
  </si>
  <si>
    <t>https://www.rcsb.org/structure/4lvh</t>
  </si>
  <si>
    <t>IGHV5; IGKV3; mus musculus</t>
  </si>
  <si>
    <t>4lvhLK</t>
  </si>
  <si>
    <t>4M5Z</t>
  </si>
  <si>
    <t>influenza A virus A/California/07/2009 (H1N1)</t>
  </si>
  <si>
    <t>5J8</t>
  </si>
  <si>
    <t>https://opig.stats.ox.ac.uk/webapps/sabdab-sabpred/sabdab/structureviewer/?pdb=4m5z</t>
  </si>
  <si>
    <t>https://www.rcsb.org/structure/4m5z</t>
  </si>
  <si>
    <t>IGHV4; IGLV3; homo sapiens</t>
  </si>
  <si>
    <t>4m5zLH</t>
  </si>
  <si>
    <t>4PY8</t>
  </si>
  <si>
    <t>Fab 3.1</t>
  </si>
  <si>
    <t>https://opig.stats.ox.ac.uk/webapps/sabdab-sabpred/sabdab/structureviewer/?pdb=4py8</t>
  </si>
  <si>
    <t>https://www.rcsb.org/structure/4py8</t>
  </si>
  <si>
    <t>IGHV3; IGKV1; homo sapiens</t>
  </si>
  <si>
    <t>4py8JI</t>
  </si>
  <si>
    <t>4YJZ</t>
  </si>
  <si>
    <t>influenza A virus (A/Solomon Islands/3/2006 (H1N1))</t>
  </si>
  <si>
    <t>H2526</t>
  </si>
  <si>
    <t>https://opig.stats.ox.ac.uk/webapps/sabdab-sabpred/sabdab/structureviewer/?pdb=4yjz</t>
  </si>
  <si>
    <t>https://www.rcsb.org/structure/4yjz</t>
  </si>
  <si>
    <t>homo sapiens; unknown</t>
  </si>
  <si>
    <t>4yjzLl</t>
  </si>
  <si>
    <t>4YK4</t>
  </si>
  <si>
    <t>641 I-9</t>
  </si>
  <si>
    <t>https://opig.stats.ox.ac.uk/webapps/sabdab-sabpred/sabdab/structureviewer/?pdb=4yk4</t>
  </si>
  <si>
    <t>https://www.rcsb.org/structure/4yk4</t>
  </si>
  <si>
    <t>IGHV4; IGKV1; homo sapiens</t>
  </si>
  <si>
    <t>4yk4BC</t>
  </si>
  <si>
    <t>5GJS</t>
  </si>
  <si>
    <t>influenza A virus (A/California/04/2009 (H1N1))</t>
  </si>
  <si>
    <t>https://opig.stats.ox.ac.uk/webapps/sabdab-sabpred/sabdab/structureviewer/?pdb=5gjs</t>
  </si>
  <si>
    <t>https://www.rcsb.org/structure/5gjs</t>
  </si>
  <si>
    <t>5gjsLH</t>
  </si>
  <si>
    <t>5K9O</t>
  </si>
  <si>
    <t xml:space="preserve">influenza a virus (strain swla/california/04/2009 h1n1) </t>
  </si>
  <si>
    <t>31.b.09</t>
  </si>
  <si>
    <t>https://opig.stats.ox.ac.uk/webapps/sabdab-sabpred/sabdab/structureviewer/?pdb=5k9o</t>
  </si>
  <si>
    <t>https://www.rcsb.org/structure/5k9o</t>
  </si>
  <si>
    <t>IGHV1; IGKV2; homo sapiens</t>
  </si>
  <si>
    <t>5k9oLH</t>
  </si>
  <si>
    <t>5UG0</t>
  </si>
  <si>
    <t xml:space="preserve">influenza a virus (a/solomonislands/3/2006(h1n1)) </t>
  </si>
  <si>
    <t>H2897</t>
  </si>
  <si>
    <t>https://opig.stats.ox.ac.uk/webapps/sabdab-sabpred/sabdab/structureviewer/?pdb=5ug0</t>
  </si>
  <si>
    <t>https://www.rcsb.org/structure/5ug0</t>
  </si>
  <si>
    <t>IGHV3; IGKV3; homo sapiens</t>
  </si>
  <si>
    <t>5ug0CD</t>
  </si>
  <si>
    <t>5UGY</t>
  </si>
  <si>
    <t>CH65</t>
  </si>
  <si>
    <t>https://opig.stats.ox.ac.uk/webapps/sabdab-sabpred/sabdab/structureviewer/?pdb=5ugy</t>
  </si>
  <si>
    <t>https://www.rcsb.org/structure/5ugy</t>
  </si>
  <si>
    <t>5ugyMI</t>
  </si>
  <si>
    <t>5UJZ</t>
  </si>
  <si>
    <t>ELECTRON MICROSCOPY</t>
  </si>
  <si>
    <t>K1915</t>
  </si>
  <si>
    <t>https://opig.stats.ox.ac.uk/webapps/sabdab-sabpred/sabdab/structureviewer/?pdb=5ujz</t>
  </si>
  <si>
    <t>https://www.rcsb.org/structure/5ujz</t>
  </si>
  <si>
    <t>5ujziI</t>
  </si>
  <si>
    <t>5W6G</t>
  </si>
  <si>
    <t>https://opig.stats.ox.ac.uk/webapps/sabdab-sabpred/sabdab/structureviewer/?pdb=5w6g</t>
  </si>
  <si>
    <t>https://www.rcsb.org/structure/5w6g</t>
  </si>
  <si>
    <t>IGHV4; IGLV1; homo sapiens</t>
  </si>
  <si>
    <t>5w6gLH</t>
  </si>
  <si>
    <t>5XHV</t>
  </si>
  <si>
    <t>influenza a virus (a/california/07/2009(h1n1))</t>
  </si>
  <si>
    <t>S40</t>
  </si>
  <si>
    <t>https://opig.stats.ox.ac.uk/webapps/sabdab-sabpred/sabdab/structureviewer/?pdb=5xhv</t>
  </si>
  <si>
    <t>https://www.rcsb.org/structure/5xhv</t>
  </si>
  <si>
    <t>5xhvLH</t>
  </si>
  <si>
    <t>6A4K</t>
  </si>
  <si>
    <t>influenza a virus (a/california/7/2009(h1n1))</t>
  </si>
  <si>
    <t>32D6</t>
  </si>
  <si>
    <t>https://opig.stats.ox.ac.uk/webapps/sabdab-sabpred/sabdab/structureviewer/?pdb=6a4k</t>
  </si>
  <si>
    <t>https://www.rcsb.org/structure/6a4k</t>
  </si>
  <si>
    <t>IGHV4; IGLV4; homo sapiens</t>
  </si>
  <si>
    <t>6a4kMI</t>
  </si>
  <si>
    <t>6FYT</t>
  </si>
  <si>
    <t>Lama Glama</t>
  </si>
  <si>
    <t>SD38C</t>
  </si>
  <si>
    <t>https://opig.stats.ox.ac.uk/webapps/sabdab-sabpred/sabdab/structureviewer/?pdb=6fyt</t>
  </si>
  <si>
    <t>https://www.rcsb.org/structure/6fyt</t>
  </si>
  <si>
    <t>IGHV1; lama glama</t>
  </si>
  <si>
    <t>6fytII</t>
  </si>
  <si>
    <t>6ML8</t>
  </si>
  <si>
    <t>influenza A virus (A/Denver/57/1957(H1N1)</t>
  </si>
  <si>
    <t>C05</t>
  </si>
  <si>
    <t>https://opig.stats.ox.ac.uk/webapps/sabdab-sabpred/sabdab/structureviewer/?pdb=6ml8</t>
  </si>
  <si>
    <t>https://www.rcsb.org/structure/6ml8</t>
  </si>
  <si>
    <t>6ml8LH</t>
  </si>
  <si>
    <t>6OC3</t>
  </si>
  <si>
    <t>FluA-20</t>
  </si>
  <si>
    <t>https://opig.stats.ox.ac.uk/webapps/sabdab-sabpred/sabdab/structureviewer/?pdb=6oc3</t>
  </si>
  <si>
    <t>https://www.rcsb.org/structure/6oc3</t>
  </si>
  <si>
    <t>6oc3DC</t>
  </si>
  <si>
    <t>6Q0E</t>
  </si>
  <si>
    <t>influenza a virus (a/beijing/262/1995(h1n1))</t>
  </si>
  <si>
    <t>Lineage 652 UCA</t>
  </si>
  <si>
    <t>https://opig.stats.ox.ac.uk/webapps/sabdab-sabpred/sabdab/structureviewer/?pdb=6q0e</t>
  </si>
  <si>
    <t>https://www.rcsb.org/structure/6q0e</t>
  </si>
  <si>
    <t>6q0eLH</t>
  </si>
  <si>
    <t>6Q0H</t>
  </si>
  <si>
    <t>https://opig.stats.ox.ac.uk/webapps/sabdab-sabpred/sabdab/structureviewer/?pdb=6q0h</t>
  </si>
  <si>
    <t>https://www.rcsb.org/structure/6q0h</t>
  </si>
  <si>
    <t>6q0hLH</t>
  </si>
  <si>
    <t>6Q0I</t>
  </si>
  <si>
    <t>https://opig.stats.ox.ac.uk/webapps/sabdab-sabpred/sabdab/structureviewer/?pdb=6q0i</t>
  </si>
  <si>
    <t>https://www.rcsb.org/structure/6q0i</t>
  </si>
  <si>
    <t>6q0iLH</t>
  </si>
  <si>
    <t>6Q0L</t>
  </si>
  <si>
    <t>https://opig.stats.ox.ac.uk/webapps/sabdab-sabpred/sabdab/structureviewer/?pdb=6q0l</t>
  </si>
  <si>
    <t>https://www.rcsb.org/structure/6q0l</t>
  </si>
  <si>
    <t>6q0lLH</t>
  </si>
  <si>
    <t>6Q0O</t>
  </si>
  <si>
    <t>hemagglutinin head domain</t>
  </si>
  <si>
    <t xml:space="preserve">H2227 </t>
  </si>
  <si>
    <t>https://opig.stats.ox.ac.uk/webapps/sabdab-sabpred/sabdab/structureviewer/?pdb=6q0o</t>
  </si>
  <si>
    <t>https://www.rcsb.org/structure/6q0o</t>
  </si>
  <si>
    <t>6q0oBZ</t>
  </si>
  <si>
    <t>6Q18</t>
  </si>
  <si>
    <t>H1244</t>
  </si>
  <si>
    <t>https://opig.stats.ox.ac.uk/webapps/sabdab-sabpred/sabdab/structureviewer/?pdb=6q18</t>
  </si>
  <si>
    <t>https://www.rcsb.org/structure/6q18</t>
  </si>
  <si>
    <t>6q18LH</t>
  </si>
  <si>
    <t>6URM</t>
  </si>
  <si>
    <t>influenza A virus (strain A/California/04/2009 (H1N1))</t>
  </si>
  <si>
    <t>LPAF-a.01</t>
  </si>
  <si>
    <t>https://opig.stats.ox.ac.uk/webapps/sabdab-sabpred/sabdab/structureviewer/?pdb=6urm</t>
  </si>
  <si>
    <t>https://www.rcsb.org/structure/6urm</t>
  </si>
  <si>
    <t>IGHV2; IGLV3; homo sapiens</t>
  </si>
  <si>
    <t>6urmED</t>
  </si>
  <si>
    <t>6WHK</t>
  </si>
  <si>
    <t>https://opig.stats.ox.ac.uk/webapps/sabdab-sabpred/sabdab/structureviewer/?pdb=6whk</t>
  </si>
  <si>
    <t>https://www.rcsb.org/structure/6whk</t>
  </si>
  <si>
    <t>6whkBC</t>
  </si>
  <si>
    <t>6XGC</t>
  </si>
  <si>
    <t>influenza a virus (a/michigan/45/2015(h1n1)) | influenza a virus (a/michigan/45/2015(h1n1))</t>
  </si>
  <si>
    <t>Macaca Fascicularis</t>
  </si>
  <si>
    <t>1C4</t>
  </si>
  <si>
    <t>https://opig.stats.ox.ac.uk/webapps/sabdab-sabpred/sabdab/structureviewer/?pdb=6xgc</t>
  </si>
  <si>
    <t>https://www.rcsb.org/structure/6xgc</t>
  </si>
  <si>
    <t>IGHV3; IGLV1; macaca fascicularis</t>
  </si>
  <si>
    <t>6xgcLH</t>
  </si>
  <si>
    <t>6XQ0</t>
  </si>
  <si>
    <t xml:space="preserve">influenza a virus (a/reassortant/nymc x-181a(a/nymc x-157 x california/07/2009)(h1n1)) </t>
  </si>
  <si>
    <t>S8V2-18</t>
  </si>
  <si>
    <t>https://opig.stats.ox.ac.uk/webapps/sabdab-sabpred/sabdab/structureviewer/?pdb=6xq0</t>
  </si>
  <si>
    <t>https://www.rcsb.org/structure/6xq0</t>
  </si>
  <si>
    <t>6xq0CB</t>
  </si>
  <si>
    <t>6XQ4</t>
  </si>
  <si>
    <t>S8V2-47</t>
  </si>
  <si>
    <t>https://opig.stats.ox.ac.uk/webapps/sabdab-sabpred/sabdab/structureviewer/?pdb=6xq4</t>
  </si>
  <si>
    <t>https://www.rcsb.org/structure/6xq4</t>
  </si>
  <si>
    <t>6xq4FE</t>
  </si>
  <si>
    <t>6XSK</t>
  </si>
  <si>
    <t xml:space="preserve">influenza a virus (a/solomonislands/3/2006(h1n1))  | influenza a virus (a/solomonislands/3/2006(h1n1)) </t>
  </si>
  <si>
    <t>Macaca Mulatta</t>
  </si>
  <si>
    <t>789-203-3C12</t>
  </si>
  <si>
    <t>https://opig.stats.ox.ac.uk/webapps/sabdab-sabpred/sabdab/structureviewer/?pdb=6xsk</t>
  </si>
  <si>
    <t>https://www.rcsb.org/structure/6xsk</t>
  </si>
  <si>
    <t>IGHV4; IGKV1; macaca mulatta</t>
  </si>
  <si>
    <t>6xskKI</t>
  </si>
  <si>
    <t>7FAH</t>
  </si>
  <si>
    <t>Mus musculus</t>
  </si>
  <si>
    <t>12H5</t>
  </si>
  <si>
    <t>https://opig.stats.ox.ac.uk/webapps/sabdab-sabpred/sabdab/structureviewer/?pdb=7fah</t>
  </si>
  <si>
    <t>https://www.rcsb.org/structure/7fah</t>
  </si>
  <si>
    <t>IGHV9; IGKV3; mus musculus</t>
  </si>
  <si>
    <t>7fahDC</t>
  </si>
  <si>
    <t>7JIX</t>
  </si>
  <si>
    <t xml:space="preserve">influenza a virus (a/solomon islands/3/2006(egg passage)(h1n1)) </t>
  </si>
  <si>
    <t>https://opig.stats.ox.ac.uk/webapps/sabdab-sabpred/sabdab/structureviewer/?pdb=7jix</t>
  </si>
  <si>
    <t>https://www.rcsb.org/structure/7jix</t>
  </si>
  <si>
    <t>IGHV1; IGKV3; mus musculus</t>
  </si>
  <si>
    <t>7jixLH</t>
  </si>
  <si>
    <t>7MEM</t>
  </si>
  <si>
    <t>045-09 2B05</t>
  </si>
  <si>
    <t>https://opig.stats.ox.ac.uk/webapps/sabdab-sabpred/sabdab/structureviewer/?pdb=7mem</t>
  </si>
  <si>
    <t>https://www.rcsb.org/structure/7mem</t>
  </si>
  <si>
    <t>7memJG</t>
  </si>
  <si>
    <t>7SCN</t>
  </si>
  <si>
    <t>Influenza A virus (strain A/New Zealand: Canterbury/35/2000 (H1N1))</t>
  </si>
  <si>
    <t>310-63E6</t>
  </si>
  <si>
    <t>https://opig.stats.ox.ac.uk/webapps/sabdab-sabpred/sabdab/structureviewer/?pdb=7scn</t>
  </si>
  <si>
    <t>https://www.rcsb.org/structure/7scn</t>
  </si>
  <si>
    <t>IGHV1;IGKV3:homo sapiens</t>
  </si>
  <si>
    <t>7scnLH</t>
  </si>
  <si>
    <t>7SCO</t>
  </si>
  <si>
    <t>Influenza A virus strain A/New Zealand: South Canterbury/35/2000 (H1N1)</t>
  </si>
  <si>
    <t>310-39G10</t>
  </si>
  <si>
    <t>https://opig.stats.ox.ac.uk/webapps/sabdab-sabpred/sabdab/structureviewer/?pdb=7sco</t>
  </si>
  <si>
    <t>https://www.rcsb.org/structure/7sco</t>
  </si>
  <si>
    <t>IGHV1-69;IGKV3:homo sapiens</t>
  </si>
  <si>
    <t>7scoLH</t>
  </si>
  <si>
    <t>7UMM</t>
  </si>
  <si>
    <t>Ab109</t>
  </si>
  <si>
    <t>https://opig.stats.ox.ac.uk/webapps/sabdab-sabpred/sabdab/structureviewer/?pdb=7umm</t>
  </si>
  <si>
    <t>https://www.rcsb.org/structure/7umm</t>
  </si>
  <si>
    <t>7ummMI</t>
  </si>
  <si>
    <t>7X6O</t>
  </si>
  <si>
    <t>Influenza (A virus A/Washington/05/2011 (H1N1))</t>
  </si>
  <si>
    <t>https://opig.stats.ox.ac.uk/webapps/sabdab-sabpred/sabdab/structureviewer/?pdb=7x6o</t>
  </si>
  <si>
    <t>https://www.rcsb.org/structure/7x6o</t>
  </si>
  <si>
    <t>7x6oLJ</t>
  </si>
  <si>
    <t>7YHK</t>
  </si>
  <si>
    <t>https://opig.stats.ox.ac.uk/webapps/sabdab-sabpred/sabdab/structureviewer/?pdb=7yhk</t>
  </si>
  <si>
    <t>https://www.rcsb.org/structure/7yhk</t>
  </si>
  <si>
    <t>7yhkHF</t>
  </si>
  <si>
    <t>8DIU</t>
  </si>
  <si>
    <t>Influenza A virus (A/Bayern/07/1995 (H1N1))</t>
  </si>
  <si>
    <t>https://opig.stats.ox.ac.uk/webapps/sabdab-sabpred/sabdab/structureviewer/?pdb=8diu</t>
  </si>
  <si>
    <t>https://www.rcsb.org/structure/8diu</t>
  </si>
  <si>
    <t>8diuIH</t>
  </si>
  <si>
    <t>8GV5</t>
  </si>
  <si>
    <t xml:space="preserve">influenza a virus(a/swine/guangdong/104/2013(h1n1))  | influenza a virus(a/swine/guangdong/104/2013(h1n1)) </t>
  </si>
  <si>
    <t>PN-SIA28</t>
  </si>
  <si>
    <t>https://opig.stats.ox.ac.uk/webapps/sabdab-sabpred/sabdab/structureviewer/?pdb=8gv5</t>
  </si>
  <si>
    <t>https://www.rcsb.org/structure/8gv5</t>
  </si>
  <si>
    <t>8gv5DC</t>
  </si>
  <si>
    <t>PDB+Chains</t>
  </si>
  <si>
    <t>NA (4f15LK)</t>
  </si>
  <si>
    <t>3E1</t>
  </si>
  <si>
    <t>Lineage 652 I-7-0</t>
  </si>
  <si>
    <t>Lineage 652 I-7-6</t>
  </si>
  <si>
    <t>Lineage 652 I-7-1</t>
  </si>
  <si>
    <t>NA (6whkBC)</t>
  </si>
  <si>
    <t>NA (7jixLH)</t>
  </si>
  <si>
    <t>28-12</t>
  </si>
  <si>
    <t>Chain</t>
  </si>
  <si>
    <t>Sequence ength</t>
  </si>
  <si>
    <t>Sequence</t>
  </si>
  <si>
    <t>A</t>
  </si>
  <si>
    <t>ADPGDTICIGYHANNSTDTVDTVLEKNVTVTHSVNLLEDSHNGKLCKLGIAPLQLGKCNIAGWLLGNPECDLLLTASWSYIVETSNSENTCYPGDFIDYEELREQLSSVSSFEKFEIFPSWPNHETTGVTAACSYAGASSFYRNLLWLTKKGSSYPKLSKSYVNNKGKEVLVLWGVHHPPTGTDQQSLYQNADAYVSVGSSKYNRRFTPEIAARPKVRDQAGRMNYYWTLLEPGDTITFEATGNLIAPWYAFALNRGSSGIITSDAPVHDCNTKCQTPHGAINSSLPFQNIHPVTIGECPKYVRSTKLRMATGLRNIPSIGLFGAIAGFIEGGWTGMIDGWYGYHHQNEQGSGYAADQKSTQNAIDGITNKVNSVIEKMNTQFTAVGKEFNNLERRIENLNKKVDDGFLDIWTYNAELLVLLENERTLDFHDSNVRNLYEKVKSQLKNNAKEIGNGCFEFYHKCDDACMESVRNGTYDYPKYSEESKLNREEI</t>
  </si>
  <si>
    <t>L</t>
  </si>
  <si>
    <t>VLTQPPSVSAAPGQKVTISCSGSSIGNDYVSWYQQLPGTAPKLLIYDNNKRPSGIPDRFSGSKSGTSATLGITGLQTGDEANYYCATWDRRPVVFGGGTKLTVEELQANKATLVCLISDFYGVETTTPSKQSNNKYAASSYLSCQ</t>
  </si>
  <si>
    <t>H</t>
  </si>
  <si>
    <t>EVQLVESGAEVKKPGSSVKVSCKASGGPFRSYAISWVRQAPGQGPEWMGGIIIFGTTKYAPKFQGRVTITADDFAGTVYMELRSEDTAMYYCAKHMGYQVDVWGKGTTVTVSSASTKGPSVFPLGCLVKDYFPEPVTTFPAVLQSSGLYSLS</t>
  </si>
  <si>
    <t>DTICIGYHANNSTDTVDTVLEKNVTVTHSVNLLEDSHNGKLCKLGIAPLQLGKCNIAGWLLGNPECDLLLTASWSYIVETSNSENTCYPGDFIDYEELREQLSSVSSFEKFEIFPSWPNHETTGVTAACSYAGASSFYRNLLWLTKKGSSYPKLSKSYVNNKGKEVLVLWGVHHPPTGTDQQSLYQNADAYVSVGSSKYNRRFTPEIAARPKVRDQAGRMNYYWTLLEPGDTITFEATGNLIAPWYAFALNRGSSGIITSDAPVHDCNTKCQTPHGAINSSLPFQNIHPVTIGECPKYVRSTKLRMATGLRNIPSGLFGAIAGFIEGGWTGMIDGWYGYHHQNEQGSGYAADQKSTQNAIDGITNKVNSVIEKMNTQFTAVGKEFNNLERRIENLNKKVDDGFLDIWTYNAELLVLLENERTLDFHDSNVRNLYEKVKSQLKNNAKEIGNGCFEFYHKCDDACMESVRNGTYDYPKYSEESKLNREEI</t>
  </si>
  <si>
    <t>PVLTQPPSASGTPGQRVTISCSGSSIGSNTVSWYQQVPGTAPKLLIYGNNERPSGVPDRFSGSKSATSASLAISGLQSEDEADYYCAAWDDSLWVFGGGTKLTVGQPKAAPSVTLFPPSSEELQANKATLVCLISDFYPGAVTVAWKADSSPVKAGVETTTPSKQSNNKYAASSYLSLTPEQWKSHKSYSCQVTHEGSTVEKTVAP</t>
  </si>
  <si>
    <t>VQLVESGPALVKPTQTLTLTCSFSGFSLSTSGMSWIRQPPGKALEWLALIDDDDTYYITYSLKTRLTISKDTSKSQVVLTMDPVDTATYYCARTLRVSGDLWGRGTLVTVSSASTKGPSVFPLAPTAALGCLVKDYFPEPVTVSWNSGALTSGVHTFPAVLQSSGLYSLSSVVTVPSSSLGTQTYICNVNHKPSNTKVDKRV</t>
  </si>
  <si>
    <t>DTLCIGYHANNSTDTVDTVLEKNVTVTHSVNLLEDKHNGKLCKLRGVAPLHLGKCNIAGWILGNPECESLSTASSWSYIVETPSSDNGTCYPGDFIDYEELREQLSSVSSFERFEIFPKTSSWPNHDSNKGVTAACPHAGAKSFYKNLIWLVKKGNSYPKLSKSYINDKGKEVLVLWGIHHPSTSADQQSLYQNADTYVFVGSSRYSKKFKPEIAIRPKVRDQEGRMNYYWTLVEPGDKITFEATGNLVVPRYAFAMERNAGSGIIISDTPVHDCNTTCQTPKGAINTSLPFQNIHPITIGKCPKYVKSTKLRLATGLRNIPSIQSRGLFGAIAGFIEGGWTGMVDGWYGYHHQNEQGSGYAADLKSTQNAIDEITNKVNSVIEKMNTQFTAVGKEFNHLEKRIENLNKKVDDGFLDIWTYNAELLVLLENERTLDYHDSNVKNLYEKVRSQLKNNAKEIGNGCFEFYHKCDNTCMESVKNGTYDYPKYSEEAKLNREEI</t>
  </si>
  <si>
    <t>DIVMTQSPDSLAVSLGERATINCKSSQNYKNYLAWYQQKPGQPPKLLIYWASTRESGVPDRFSGSGSGTDFTLTISSLQAEDVAVYYCQQHYRTPPTFGQGTKVEIKRTVAAPSVLLNNFYPQSGNSQESVTEQDSKDSTYSLSST</t>
  </si>
  <si>
    <t>QVQLVESGGGVVQPGRSLRLSCAASGFTFSTYAMHWVRQAPGKGLEWVAVISDANYKYYADSVKGRFTISRDNSKNTLYLQMRAEDTAVYYCAKDSQLRSDYWGQGTLVTVSSASTKGPSCLVKDYFPEPTFPAVLQSSGLYSLSSVVNHKPSNTKV</t>
  </si>
  <si>
    <t>J</t>
  </si>
  <si>
    <t>KLRGVAPLHLGKCNIAGWILGNPECESLSTASSWSYIVETSSSDNGTCYPGDFIDYEELREQLSSVSSFERFEIFPKTSSWPNHDSNKGVTAACPHAGAKSFYKNLIWLVKKGNSYPKLSKSYINDKGKEVLVLWGIHHPSTSADQQSLYQNADAYVFVGSSRYSKKFKPEIAIRPKVRDQEGRMNYYWTLVEPGDKITFEATGNLVVPRYAFAMERNAGSGNKVNSVIEKMNTQFLDIWTYNAELLVLLENERT</t>
  </si>
  <si>
    <t>IQMTQSPASLAVSPGQRATITCRASESVSNFINWFQQKPGQPPKLLIYTASNKGTGVPARFSGSGSGTDFTLTINPVEAEDTANYFCQQTKEVPYGTFGGTKLEIKRADAAPTVSIFPPSSEQLTSGASVVCFLNNFYPKINVKWKIDGSERQNGVLNSWTDQDSKDSTYSMSSTLTLYERHNSYTCEATHKTSTSPIVKSFN</t>
  </si>
  <si>
    <t>K</t>
  </si>
  <si>
    <t>VKLQESGAVVQPGGSLRLSCAASGFTGSDYDMSWIRQAPGKGLEWVSGILGGSERSYYRDSVKGRSTISRDNSRKTLYLEMNSLRAEDTAVYYCARHSWGGWGQGTTVTVSSASTKGPSVFPLAPSTSGGTAALGCLVKDYFPEPVTVSWNSGALTSSVHTFPAVLQSSGLYSLSSVVTVPSSSLGTQTYICNVNHKPSNTKVDKKSC</t>
  </si>
  <si>
    <t>PGDTICIGYHANNSTDTVDTVLEKNVTVTHSVNLLEDSHNGKLCKLGIAPLQLGKCNIAGWLLGNPECDLLLTASWSYIVETSNSENTCYPGDFIDYEELREQLSSVSSFEKFEIFPSWPNHETTGVTAACSYAGASSFYRNLLWLTKKGSSYPKLSKSYVNNKGKEVLVLWGVHHPPTGTDQQSLYQNADAYVSVGSSKYNRRFTPEIAARPKVRDQAGRMNYYWTLLEPGDTITFEATGNLIAPWYAFALNRGSSGIITSDAPVHDCNTKCQTPHGAINSSLPFQNIHPVTIGECPKYVRSTKLRMATGLRNIPSGLFGAIAGFIEGGWTGMIDGWYGYHHQNEQGSGYAADQKSTQNAIDGITNKVNSVIEKMNTQFTAVGKEFNNLERRIENLNKKVDDGFLDIWTYNAELLVLLENERTLDFHDSNVRNLYEKVKSQLKNNAKEIGNGCFEFYHKCDDACMESVRNGTYDYPKYSEESKLNRE</t>
  </si>
  <si>
    <t>N</t>
  </si>
  <si>
    <t>PVLTQPPSASGSPGQRVTISCSGSSIGSYTVNWYQQLPGTAPKLLIYSLNQRPSGVPDRFSGSKSGTSASLAISGLQSEDEAVYYCAAWDDSLVVFGGGTKLTVGQPKAAPSVTLFPPSSEELQANKATLVCLISDFYPGAVTVAWKADSSPVKAGVETTTPSKQSNNKYAASSYLSLTPEQWKSHRSYSCQVTHEGSTVEKTVAPT</t>
  </si>
  <si>
    <t>M</t>
  </si>
  <si>
    <t>VQLVQSGGGVVQPRRSLRLSCAASGFTFSSYAMHWVRQAPGKGLEWVAVISDGRNKYYADSVKGRFTVSRDNSKNTLYLQMRAEDTSVYYCARELLMDYPTWGQGTLVTVSSASTKGPSVFPLAPSSKSTSGGTAALGCLVKDYFPEPVTVSWNSGALTSGVHTFPAVLQSSGLYSLSSVVTVPSSSLGTQTYICNVNHKPSNTKVDKRVEPKS</t>
  </si>
  <si>
    <t>E</t>
  </si>
  <si>
    <t>APLQLGNCSVAGWILGNPECELLISRESWSYIVEKPNPENGTCYPGHFADYEELREQLSSVSSFERFEIFPKESSWPNHTTTGVSASCSHNGESSFYKNLLWLTGKNGLYPNLSKSYANNKEKEVLVLWGVHHPPNIGDQRALYHTENAYVSVVSSHYSRKFTPEIAKRPKVRDQEGRINYYWTLLEPGDTIIFEANGNLIAPRYAFALSRG</t>
  </si>
  <si>
    <t>B</t>
  </si>
  <si>
    <t>QSALTQPPSVSVAPGQTATITCGGNNIGRKRVDWFQQKPGQAPVLVVYERFSDSNSGTTATLTISRVEAGDEADYYCQVWDSDSDHVVFGGGTKLTVLGQPKAAPSVTLFPPSSEELQANKATLVCLISDFYPGAVTVAWKADSSPVKAGVETTTPSKQSNNKYAASSYLSLTPEQWKSHRSYSCQVTHEGSTVEKTVAPT</t>
  </si>
  <si>
    <t>QVQLVQSGAEVRKPGASVKVSCKASGYTFTDNYIHWVRQAPGQGLEWMGWIHPNSGATKYAQKFEGWVTMTRDTSISTVYMELSRSRSDDTAVYYCARAGLEPRSVDYYFYGLDVWGQGTAVTVSSASTKGPSVFPLAPSSKSTSGGTAALGCLVKDYFPEPVTVSWNSGALTSGVHTFPAVLQSSGLYSLSSVVTVPSSSLGTQTYICNVNHKPSNTKVDKRVEP</t>
  </si>
  <si>
    <t>APLQLGNCSVAGWILGNPECELLISRESWSYIVEKPNPENGTCYPGHFADYEELREQLSSVSSFERFEIFPKESSWPNHTTTGVSASCSHNGESSFYKNLLWLTGKNNLYPNLSKSYANNKEKEVLVLWGVHHPPNIGDQRALYHTENAYVSVVSSHYSRKFTPEIAKRPKVRDQEGRINYYWTLLEPGDTIIFEANGNLIAPRYAFALSRG</t>
  </si>
  <si>
    <t>APLQLGNCSVAGWILGNPECELLISRESWSYIVEKPNPENGTCYPGHFADYEELREQLSSVSSFERFEIFPKESSWPNHTTTGVSASCSHNGESSFYKNLLWLTGKNDLYPNLSKSYANNKEKEVLVLWGVHHPPNIGDQRALYHTENAYVSVVSSHYSRKFTPEIAKRPKVRDQEGRINYYWTLLEPGDTIIFEANGNLIAPRYAFALSRG</t>
  </si>
  <si>
    <t>APLQLGNCSVAGWILGNPECELLISRESWSYIVEKPNPENGTCYPGHFADYEELREQLSSVSSFERFEIFPKESSWPNHTTTGVSASCSHNGESSFYKNLLWLTGKNKLYPNLSKSYANNKEKEVLVLWGVHHPPNIGDQRALYHTENAYVSVVSSHYSRKFTPEIAKRPKVRDQEGRINYYWTLLEPGDTIIFEANGNLIAPRYAFALSRG</t>
  </si>
  <si>
    <t>APLQLGNCSVAGWILGNPECELLISRESWSYIVEKPNPENGTCYPGHFADYEELREQLSSVSSFERFEIFPKESSWPNHTTTGVSASCSHNGESSFYKNLLWLTGKNSLYPNLSKSYANNKEKEVLVLWGVHHPPNIGDQRALYHTENAYVSVVSSHYSRKFTPEIAKRPKVRDQEGRINYYWTLLEPGDTIIFEANGNLIAPRYAFALSRG</t>
  </si>
  <si>
    <t>PLHLGKCNIAGWILGNPECESLSTASSWSYIVETSSSDNGTCYPGDFIDYEELREQLSSVSSFERFEIFPKTSSWPNHDSNKGVTAACPHAGAKSFYKNLIWLVKKGNSYPKLSKSYINDKGKEVLVLWGIHHPSTSADQQSLYQNADAYVFVGSSRYSKKFKPEIAIRPKVRDQEGRMNYYWTLVEPGDKITFEATGNLVVPRYAFAMERNAGSGIIISDT</t>
  </si>
  <si>
    <t>IQMTQSPASLAVSPGQRATITCRAESVSNYGINFINWFQQKPGQPPKLLIYTASNKGTGVPARFSGSGSGTDFTLTINPVEAEDTANYFCQQTKEVPYTFGGGTKLEIKRADAAPTVSIFPPSSEQLTSGGASVVCFLNNFYPKINVKWKIDGSERQNGVLNSWTDQDSKDSTYSMSSTLTLDEYERHNSYTCEATHKTSTSPIVKSFN</t>
  </si>
  <si>
    <t>KLQQSGGGVVQPGGSLRLSCAASGFTFSDYDMSWIRQAPGKGLEWVSGILGGSERSYYRDSVKGRFTISRDNSRKTLYLQMNSLRAEDTAVYYCARHGSPGYTLYAWDYWGQGTMVTVSSASTKGPSVFPLAPSTSGATAALGCLVKDYFPEPVTVSWNSGALTSSVHTFPAVLQSSGLYSLSSVVTVPSSSLGTQTYICNVNHKPSNTKVDKKSCAA</t>
  </si>
  <si>
    <t>GVAPLHLGKCNIAGWILGNPECETASWSYIVETSDNTCYPGDFIDYEELREQLSSVSSFERFEIFPSWPNHDSNGVTAACPHAGAKSFYKNLIWLVKKGNSYPKLSKSYINDKGKEVLVLWGIHHPSTSADQQSLYQNADAYVFVGSSRYSKKFKPEIAIRPKVRDQEGRMNYYWTLVEPGDKITFEATGNLVVPRYAFAMERN</t>
  </si>
  <si>
    <t>SYVLTQPPSVSVAPGETARISCGGNNIGTKVLHWYQQTPGQAPVLVVYDDSDRPSGIPERFSGSNSGNTATLTISRVEVGDEADYYCQVWDISTAVFGGGTKLTVGQPKAAPSVTLFPPSSEELQANKATLVCLISDFYPGAVTVAWKADSSPVKAGVETTTPSKQSNNKYAASSYLSLTPEQWKSHRSYSCQVTHEGSTVEKTVAPTE</t>
  </si>
  <si>
    <t>EVQLVESGPGLVKPSDILSLTCAVSGYSISSNYYWWIRQPPGKGLEWIGSIYHSGSTYYKPSLESRLGISVDTSKNQFSLKLSAADTAVYYCARHVRSGYDKWGQGTLVTVSSASTKGPSVFPLAPSGTAALGCLVKDYFPEPVTVSWNSGALTSGVHTFPAVLQSSGLYSLSSVVTVPSSSLGTQTYICNVNHKPSNTKVDKRVEPKS</t>
  </si>
  <si>
    <t>AD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IGLFGAIAGFIEGGWTGMIDGWYGYHHQNEQGSGYAADQKSTQNAIDGITNKVNSVIEKMNTQAVGKEFNNLERRIENLNKKVDDGFLDIWTYNAELLVLLENERTLDFHDSNVRNLYEKVKSQLKNNAKEIGNGCFEFYHKCDDACMESVRNGTYDYPKYSEESKLNREEI</t>
  </si>
  <si>
    <t>ELQMTQSPSSVSASVGDRVTITCRASQGISSWLAWYQQKPGKAPKLLIYAASSLQSGVPSRFSGSGSGTDFTLTISSLQPEDFATYYCQQANSFPLTFGGGTKVEIKRTVAAPSVFIFPPSDEQLKSGTASVVCLLNNFYPREAKVQWKVDNALQSGNSQESVTEQDSKDSTYSLSSTLTLSKADYEKHKVYACEVTHQGLSSPVTKSFNRG</t>
  </si>
  <si>
    <t>I</t>
  </si>
  <si>
    <t>QVQLVQSGGGVVQPGRSLRLSCAASEFTFRMYATHWVRQAPGKGLEWVALISYDGSNKYYADSVKGRFTISRDNSMNTVYLQMNTLRPEDTAVYYCARDLGGYFIRGIMDVWGQGTLVTVSSASTKGPSVFPLAPSSGGTAALGCLVKDYFPEPVTVSWNSGALTSGVHTFPAVLQSSGLYSLSSVVTVPSSSLGTQTYICNVNHKPSNTKVDKRVEPK</t>
  </si>
  <si>
    <t>VLTQPLSAPGTPGQRVTISCSGSSSNVGTNAVDWYQRLPGTAPKLLIYYNNQRPSGVPDRFSGSKSGTSASLAISGLRSEDEADYYCATWDNSLNDRVFGGGTKLTVLQVQLVQSGAEVRKPGSSVKVSCKASRGTFSNHAVSWVRQAPGHGLEWLGGLIPIFSTPHYAQKFQGRVTITADESTNTVHMELSSLRSEDTAVYYCAREIPGATSGPDHFFFYGMDVWGQGTTVAV</t>
  </si>
  <si>
    <t>QLGNCSVAGWILGNPECELLISRESWSYIVEKPNPENGTCYPGHFADYEELREQLSSVSSFERFEIFPKESSWPNHTTTGVSASCSHNGESSFYKNLLWLTGKNGLYPNLSKSYANNKEKEVLVLWGVHHPPNIGDQRALYHTENAYVSVVSSHYSRKFTPEIAKRPKVRDQEGRINYYWTLLEPGDTIIFEANGNLIAPRYAFAL</t>
  </si>
  <si>
    <t>DIQMTQSPSSLSASVGDRVTITCRASQSISSYLNWYQQKPGKAPKLLIYAASSLQSGVPSRFSGSGSGTDFTLTISSLQPEDFATYYCQQSYSIPLTFGQGTRLEIKRTVAAPSVFIFPPSDEQLKSGTASVVCLLNNFYPREAKVQWKVDNALQSGNSQESVTEQDSKDSTYSLSSTLTLSKADYEKHKVYACEVTHQGLSSPVTKSFNR</t>
  </si>
  <si>
    <t>C</t>
  </si>
  <si>
    <t>QVQLQESGPGLVKPSETLSLTCTVSGGSISSYYWSWIRQPPGKGLEWIGYIYYSGSTDYNPSLKSRVTISVDTSKNQFSLKLSSVTAADTAVYYCARRRSDFETVDFIYHYMDVWGKGTTVTVSSASTKGPSVFPLAPSGGTAALGCLVKDYFPEPVTVSWNSGALTSGVHTFPAVLQSSGLYSLSSVVTVPSSSLGTQTYICNVNHKPSNTKVDKRVEP</t>
  </si>
  <si>
    <t>SDTLCIGYHANNSTDTVDTVLEKNVTVTHSVNLLEDKHNGKLCKLRGVAPLHLGKCNIAGWILGNPECESTASSWSYIVETPSSDNGTCYPGDFIDYEELREQLSSVSSFERFEIFPKTSSWPNHDSNKGVTAACPHAGAKSFYKNLIWLVKKGNSYPKLSKSYINDKGKEVLVLWGIHHPSTSADQQSLYNADTYVFVCSSRYSKKFKPEIAICPKVRDQEGRMNYYWTLVEPGDKITFEATGNLVVPRYAFAMERNASGIIISDTPVHDCNTTCQTPKGAINTSLPFQNIHPITIGKCPKYVKSTKLRLATGLRNIPSGAIAFIEGGWTGMVDGWYGYHHQNEQGSGYAADLKSTQNAIDEITNKVNSVIEKMNTQFTAVGKEFNHLEKRIENLNKKVDDGFLDIWTYNAELLVLLENERTLDYHDSNVKNLYEKVRSQLKNNAKEIGNGCFEFYHKCDNTCMESVKNGTYDYPKYSEEAKLNRE</t>
  </si>
  <si>
    <t>DIQMTQSPATLSASVGDRVSITCRASQSISSWLAWYQQKPGKAPKLLIYKASSLESGVPSRFSGSGSGSEFTLTISSLQPDDFAIYYCQQYNSYPWTFGQGTKVEIKRTVAAPSVFIFPPSDEQLKSGTASVVCLLNNFYPREAKVQWKVNALQSNSQESVTEQDSKDSTYSLSSTLTLDYEKHKVYACEVTHQGLSSPVTKSFNRG</t>
  </si>
  <si>
    <t>QVQLQESGPGLVKPSETLSLTCSVSGASISSYYWIWIRQPAKGLEWIGRFYTSGSPNYNPSLRSRVTMSVDTSKNQFSLKLTSVTAADTAVYYCAREEHITFGGVIVRYWGQGTLVTVSPASTKGPSVFPLAPTAALGCLVKDYFPEPVTVSWNSGALTSGVHTFPAVLQSSGLYSLSSVVTVPSSSLGQTYICNVNHKPSNTKVDKKVEP</t>
  </si>
  <si>
    <t>DTLCIGYHANNSTDTVDTVLEKNVTVTHSVNLLEDKHNGKLCKLRVAPLHLGKCNIAGWILGNPECESLSTASWSYIVETSSDNGTCYPGDFIDYEELREQLSSVSRFEIFPKTSSWPNHDSNGVTAACPHAGAKSFYKNLIWLVKKGNSYPKLSKSYINDKGKEVLVLWGIHHPSTSADQQSLYQNADTYVFVGSSRYSKKFKPEIAIRPKVRDQEGRMNYYWTLVEPGDKITFEATGNLVVPRYAFAMERNAGSIIISDTPVHDCNTTCQTPKGAINTSLPFQNIHPITIGKCPKYVKSTKLRLATGLRNIPSIQSRGGFIEGGWTGMVDGWYGYHHQNEQGSGYAADLKSTQNAIDEITNKVNSVIEKMNTQDGFLDIWTYNAELLVLLENERTLDYHDSNVKNLYEKVRSQLKNNAKEIGNGCFEFYHKCDNTCMESVKNGTYDYPKYSEEAKL</t>
  </si>
  <si>
    <t>DVVMTQSPVSLPVTLGQPASISCRSSQGLVYIDGNTYLNWFQQRPGQSPRRLIYNVFTRDSGVPDRFSGSGSGTDFTLKITTVEAEDVGVYYCMQGTHWPYTFGQGTKVEITVAAPSVFIFPPSDEQLKSGTASVVCLLNNFYPREAKVQWKVDNALQSGNSQESVTEQDSKDSTYSLSSTLTLSKADYEKHKVYACEVTHQGLRSPVTKSFNRGEC</t>
  </si>
  <si>
    <t>QVQLVQSGAEVKKPGASVKVSCKASGYSFSSYGISWVRQAPGQGLEWMGWISAYNGNTNYAQKLQGRVTMTTDTSTSTAYMELRSLRSDDTAVFYCARDRPHILTGFDFDYWGQGTLVTSTKGPSVFPLAPSSKSTSGGTAALGCLVKDYFPEPVTVSWNSGALTSGVHTFPAVLQSSGLYSLSSVVTVPSSSLGTQTYICNVNHKPSNTKVDKKVEPKSC</t>
  </si>
  <si>
    <t>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IQSGAIAGFIEGGWTGMVDGWYGYHHQNEQGSGYAADQKSTQNAINGITNKVNSVIEKMNTQFTAVGKEFNKLERRMENLNKKVDDGFIDIWTYNAELLVLLENERTLDFHDSNVKNLYEKVKSQLKNNAKEIGNGCFEFYHKCNDECMESVKNGTYDYPKYSEESKLNREKI</t>
  </si>
  <si>
    <t>EIVLTQSPGTLSLSPGEKATLSCRASQSVSSYYLGWYQQKPGQAPRLLIYETSRRATGIPDRFSGSGSGTDFTLTISGLEPEDFAVYYCQHYGVSPVITFGGGTKVEIKRTVAAPSVFIFPPSDEQLKSGTASVVCLLNNFYPREAKVQWKVDNALQSGNSQESVTEQDSKDSTYSLSSTLTLSKADYEKHKVYACEVTHQGLSSPVTKSFN</t>
  </si>
  <si>
    <t>D</t>
  </si>
  <si>
    <t>EVQLVESGGGLVQPGGSLRLSCAASGFTFNIYDMHWVRQAPGKGLEWVSSITTAGDTYYPGSVKGRFTTSRENAKNSLYLQMNSLRAGDTGVYYCTRGVREVGATGDDPFYYGMYVWGQGTTVTVSGASTKGPSVFPLAPSSKSTSGGTAALGCLVKDYFPEPVTVSWNSGALTSGVHTFPAVLQSSGLYSLSSVVTVPSSSLGTQTYICNVNHKPSNTKVDKRVEP</t>
  </si>
  <si>
    <t>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</t>
  </si>
  <si>
    <t>SVLTQPPSVSVAPGQTARITCGGNDIGRKSVHWNQQKPGQAPVLVVCYDSDRPSGIPERFSGSNSGNTATLTISRVEAGDEADYYCQVWDSSSDHVIFGGGTKLTVLGQPKAAPSVTLFPPSSEELQANKATLVCLISDFYPGAVTVAWKADSSPVKAGVETTTPSKQSNNKYAASSYLSLTPEQWKSHRSYSCQVTHEGSTVEKTVAPT</t>
  </si>
  <si>
    <t>EVQLVQSGAEVKKPGASVKVSCKASGYTFTDYHINWVRQAPGQGLEWMGWIHPNSGDTNYAQKFQGWVTMTRDTAISTAYMEVNGLKSDDTAVYYCARGGLEPRSVDYYYYGMDVWGQGTTVTVSSASTKGPSVFPLAPSGTAALGCLVKDYFPEPVTVSWNSGALTSGVHTFPAVLQSSGLYSLSSVVTVPSSSLGTQTYICNVNHKPSNTKVDKRVEPK</t>
  </si>
  <si>
    <t>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GLFGAIAGFIEGGWTGMVDGWYGYHHQNEQGSGYAADQKSTQNAINGITNKVNSVIEKMNTQFTAVGKEFNKLERRMENLNKKVDDGFIDIWTYNAELLVLLENERTLDFHDSNVKNLYEKVKSQLKNNAKEIGNGCFEFYHKCNDECMESVKNGTYDYPKYSEESKLNREKI</t>
  </si>
  <si>
    <t>EIVLTQSPGTLSLSPGERATLSCRASQSISGYYLTWYQQKPGQAPRLLIYGASSRATGIPDRFSGSGSGTDFTLTISRLEPEDFAVYYCQQYGISPVITFGGGTNVEIKGVQLVESGGGLVQPGGSLRLSCAASGFTFNIYDMHWVRQAPGKGLEWVSGLTTGGDTSYSGSVRGRFSISRENAKNSLYLQMNNLRAGDTAAYFCVRGVREVGATGGDPFYYAMAVWGQGTTVTVSS</t>
  </si>
  <si>
    <t>YLLE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AIAGFIEGGWTGMVDGWYGYHHQNEQGSGYAADQKSTQNAINGITNKVNSVIEKMNTQFTAVGKEFNKLERRMENLNKKVDDGFIDIWTYNAELLVLLENERTLDFHDSNVKNLYEKVKSQLKNNAKEIGNGCFEFYHKCNDECMESVKNGTYDYPKYSEESKLNREK</t>
  </si>
  <si>
    <t>SVLTQPPSVSGAPGQRVSISCTGTHSNIGAGFDVHWYQQLPGTAPKLLIYANNNRPSGVPDRFSGSKSGSSASLAITGLQAEDEADYYCQSFDSILSGDLVFGGGTKLTVLGQPKGAPSVTLFPPSSEELQANKATLVCLISDFYPGAVTVAWKADSSPVKAGVETTTPSKQSNNKYAASSYLSLTPEQWKSHRSYSCQVTHEGSTVEKTVAPT</t>
  </si>
  <si>
    <t>QVQLQESGPGLVKTSETLSLTCTVSGGSIKNKDFFWAWIRQPPGKALEWIGSVFYSGGAYYNWSLRNRVTMSADTSKNQFSLKMTSVTASDTSFYYCATSYVDNWHAGLHWFDSWGRGTLVTVSGASTKGPSVFPLAPSSKSTSGGTVALGCLVKDYFPEPVTVSWNSGALTSGVHTFPAVLQSSGLYSLSSVVTVPSSSLGTQTYICNVNHKPSNTKVDKRVEP</t>
  </si>
  <si>
    <t>NLLEDKHNGKLCKLRGVAPLHLGKCNIAGWILGNPECESLSTASSWSYIVETPSSDNGTCYPGDFIDYEELREQLSSVSSFERFEIFPKTSSWPNHDSNKGVTAACPHAGAKSFYKNLIWLVKKGNSYPKLSKSYINDKGKEVLVLWGIHHPSTSADQQSLYQNADAYVFVGSSRYSKKFKPEIAIRPKVRDQEGRMNYYWTLVEPGDKITFEATGNLVVPRYAFAMERNAGSGIIISDTPVHDCNTTCQTPKGAINTSLPFQNIHPITIGKCPKYVKSTKLR</t>
  </si>
  <si>
    <t>DIQMTQSPSSLSASVGDRVTITCRASQDVGFYVAWYQQKPGKAPKLLISWSSYLYSGVPSRFSGSGSGTDFTLTISSLQPEDFATYYCQQYYNYPLTFGQGTKVEIKRTVAAPSVFIFPPSDEQLKSGTASVVCLLNNFYPREAKVQWKVDNALQSGNSQESVTEQDSKDSTYSLSSTLTLSKADYEKHKVYACEVTHQGLSSPVTKSFNRGEC</t>
  </si>
  <si>
    <t>EVQLVESGGGLVQPGGSLRLSCAASGFTIGDFGIHWVRQAPGKGLEWVAGIWPFGGYTYYADSVKGRFTISADTSKNTAYLQMNSLRAEDTAVYYCARFVNWDGDYMDYWGQGTLVTVSSASTKGPSVFPLAPSSKSTSGGTAALGCLVKDYFPEPVTVSWNSGALTSGVHTFPAVLQSSGLYSLSSVVTVPSSSLGTQTYICNVNHKPSNTKVDKKAEPKSC</t>
  </si>
  <si>
    <t>APLHLGKCNIAGWILGNPECESLSTASSWSYIVETPSSDNGTCYPGDFIDYEELREQLSSVSSFERFEIFPKTSSWPNHDSNKGVTAACPHAGAKSFYKNLIWLVKKGNSYPKLSKSYINDKGKEVLVLWGIHHPSTSADQQSLYQNADAYVFVGSSRYSKKFKPEIAIRPKVRDQEGRMNYYWTLVEPGDKITFEATGNLVVPRYAFAMERNAGSGIIIS</t>
  </si>
  <si>
    <t>QVELTQSPSASASLGTSVKLTCTLSSGHSTYAIAWHQQRPGKGPRYLMNLSSGGRHTRGDGIPDRFSGSSSGADRYLIISSLQSEDEADYYCQTWDAGMVFGGGTKLTVLGQSKAAPSVTLFPPSSEELQANKATLVCLISDFYPGAVTVAWKADSSPVKAGVETTTPSKQSNNKYAASSYLSLTPEQWKSHRSYSCQVTHEGSTVEKTVAPTECS</t>
  </si>
  <si>
    <t>QVQLQESGPGLVKPSETLSLTCTVSGGSVNTGSYYWSWIRQPPGKGLEWIAYSSVSGTSNYNPSLKSRVTLTVDTSKNQFSLSVRSVTAADTAVYFCARLNYDILTGYYFFDFWGQGTLVIVSSASTKGPSVFPLAPSSKSASGGTAALGCLVKDYFPEPVTVSWNSGALTSGVHTFPAVLQSSGLYSLSSVVTVPSSSSGTQTYICNVNHKPSNTKVDKRVEPKSCDKT</t>
  </si>
  <si>
    <t>GDTICIGYHANNSTDTVDTVLEKNVTVTHSVNLLEDSHNGKLCRLGIAPLQLGNCSVAGWILGNPECELLISREWSYIVEKPNPENTCYPGHFADYEELREQLSSVSSFERFEIFPSWPNHTTTGVSASCSHNGESSFYKNLLWLTGKNGLYPNLSKSYANNKEKEVLVLWGVHHPPNIGDQRALYHKENAYVSVVSSHYSRKFTPEIAKRPKVRDQEGRINYYWTLLEPGDTIIFEANGNLIAPRYAFALSRGFSGIINSNAPMDECDAKCQTPQGAINSSLPFQNVHPVTIGECPKYVRSAKLRMVTGLRNIPGLFGAIAGFIEGGWTGMVDGWYGYHHQNEQGSGYAADQKSTQNAINGITNKVNSVIEKMNTQFTAVGKEFNKLERRMENLNKKVDDGFIDIWTYNAELLVLLENERTLDFHDSNVKNLYEKVKSQLKNNAKEIGNGCFEFYHKCNDECMESVKNGTYDYPKYSEESKLNREKI</t>
  </si>
  <si>
    <t>EVQLVESGGGLVQPGGSLRLSCAVSISIFDIYAMDWYRQAPGKQRDLVATSFRDGSTNYADSVKGRFTISRDNAKNTLYLQMKPEDTAVYLCHVSLYRDPVYWGKGALVTVSS</t>
  </si>
  <si>
    <t>TICIGYHANNSTDTVDTVLEKNVTVTHSVNLLEDSHNGKLCRLKGKAPLQLGNCNIAGWVLGNPECESLLSNRSWSYIAETPNSENGTCYPGDFADYEELREQLSSVSSFERFEIFPKERSWPNHTTRGVTAACPHARKSSFYKNLVWLTEANGSYPNLSRSYVNNQEKEVLVLWGVHHPSNIEEQRALYRKDNAYVSVVSSNYNRRFTPEIAKRPKVRDQSGRMNYYWTLLEPGDTIIFEATGNLIAPWYAFALSRGPGSGIITSNAPLDECDTKCQTPQGAINSSLPFQNIHPVTIGECPKYVRSTKLRMVTGLRNIPSFGAIAGFIEGGWTGMMDGWYGYHHQNEQGSGYAADQKSTQNAINGITNKVNSVIEKMNTQFTAVGKEFNKLEKRMENLNKKVDDGFMDIWTYNAELLVLLENERTLDFHDSNVKNLYEKVKNQLRNNAKELGNGCFEFYHKCDNECMESVKNGTYDY</t>
  </si>
  <si>
    <t>DIQLTQSPSSLSASVGDRVTLTCQASQDIRKFLNWYQQKPGKGPKLLIYDASNLQRGVPSRFSGGGSGTDFTLIISSLQPEDVGTYYCQQYDGLPFTFGGGTKVVIKRTVAAPSVFIFPPSDEQLKSGTASVVCLLNNFYPREAKVQWKVDNALQSGNSQESVTEQDSKDSTYSLSSTLTLSKADYEKHKVYACEVTHQGLSSPVTKSFNRG</t>
  </si>
  <si>
    <t>EVQLQESGGGLVQPGESLRLSCVGSGSTLSYYAVSWVRQAPGKGLEWLSIINGGGDIDYADSVEGRFTISRDNSKETLYLQMRVEDTGVYYCAKHMSMQQDVWGQGTMVTVSSASTKGPSVFPLAPTAALGCLVKDYFPEPVTVSWNSGALTSGVHTFPAVLQSSGLYSLSSVVTVPSSSLTYICNVNHKPSNTKVDKRVEP</t>
  </si>
  <si>
    <t>APLQLGNCSVAGWILGNPECELLISRESWSYIVEKPNPENGTCYPGHFADYEELREQLSSVSSFERFEIFPKESSWPNHTTTGVSASCSHNGESSFYKNLLWLTGKNGLYPNLSKSYANNKEKEVLVLWGVHHPPNIGDQRALYHKENAYVSVVSSHYSRKFTPEIAKRPKVRDQEGRINYYWTLLEPGDTIIFEANGNLIAPRYAFALSRG</t>
  </si>
  <si>
    <t>DIVMTQSPSSLSASIGDRVTITCRPSQNIRSFLNWFQHKPGKAPKLLIYAASNLQSGVPSRFSGSGSGTEFTLTIRSLQPEDFATYYCQQSYNTPPTFGQGTKVEIKRTVAAPSVFIFPPSDEQLKSGTASVVCLLNNFYPREAKVQWKVDNALQSGNSQESVTEQDSKDSTYSLSSTLTLSKADYEKHKVYACEVTHQGLSSPVTKSFNRGE</t>
  </si>
  <si>
    <t>QVQLEESGPGLVKPSETLSLTCSVSGVSVTSDIYYWIRQPPGKGLEWIGYIFYNGDTNYNPSLKSRVTMSIDTSKNEFSLRLTAADTAVYFCARGTEDLGNHWGQGTLVTVSSASTKGPSVFPLAPGGTAALGCLVKDYFPEPVTVSWNSGALTSGVHTFPAVLQSSGLYSLSSVVTVPSSSLGTQTYICNVNHKPSNTKVDKRVEPK</t>
  </si>
  <si>
    <t>APLQLGNCSVAGWILGNPECESLISKESWSYIVETPGTCYPGYFADYEELREQLSSVSSFERFEIFPKESSWPNHTVTGVTASCSHNGKSSFYRNLLWLTEKNGLYPNLSNSYVNNKEKEVLVLWGVHHPSNIRDQRAIYHTENAYVSVVSSHYSRRFTPEIAKRPKVRGQEGRINYYWTLLEPGDTIIFEANGNLIAPWYAFALSRG</t>
  </si>
  <si>
    <t>SELTQDPAVSVALGQTVRITCQGDSLRSYYASWYQQKPGQAPVLVIYGKNNRPSGIPDRFSGSSSGNTASLTITGAQAEDEADYYCNSRDSSGNHPVVFGGGTKLTVLGQPKGAPSVTLFPPSSEELQANKATLVCLISDFYPGAVTVAWKADSSPVKAGVETTTPSKQSNNKYAASSYLSLTPEQWKSHRSYSCQVTHEGSTVEKTVAPTE</t>
  </si>
  <si>
    <t>QVQLQESGPGLVKPSGTLSLTCAVSGGSISSSNWWSWVRQPPGKGLEWIGEIYHSGSTNYNPSLKSRVTISVDKSKNQFSLKLSSVTAADTAVYYCARAPPYCSSTSCPDDYYYYYMDVWGKGTTVTVSGASTKGPSVFPLAPSSKSTSGGTAALGCLVKDYFPEPVTVSWNSGALTSGVHTFPAVLQSSGLYSLSSVVTVPSSSLGTQTYICNVNHKPSNTKVDKRVEPK</t>
  </si>
  <si>
    <t>PLQLGNCSVAGWILGNPECESLISKESWSYIVETPENGTCYPGYFADYEELREQLSSVSSFERFEIFPKESSWPNHTVTGVTASCSHNGKSSFYRNLLWLTEKNGLYPNLSNSYVNNKEKEVLVLWGVHHPSNIRDQRAIYHTENAYVSVVSSHYSRRFTPEIAKRPKVRGQEGRINYYWTLLEPGDTIIFEANGNLIAPWYAFALSRG</t>
  </si>
  <si>
    <t>SELTQDPAVSVALGQTVRITCQGDSLRGYYASWYQQKPGQAPVLVIYGKNNRPSGIPDRFSGSSSGNTASLTITGAQAEDEADYYCNSRDSSGNHPVVFGGGTKLTVLGQPKGAPSVTLFPPSSEELQANKATLVCLISDFYPGAVTVAWKADSSPVKAGVETTTPSKQSNNKYAASSYLSLTPEQWKSHRSYSCQVTHEGSTVEKTVAPTE</t>
  </si>
  <si>
    <t>QVQLQESGPGLVKPSGTLSLTCAVSGGSISSSNWWSWVRQPPGKGLEWIGEIYHGGSTNYNPSLKSRVTISVDKSKNQFSLKLSSVTAADTAVYYCARAPPYCTSASCPDDYYYYYMDVWGKGTTVTVSGASTKGPSVFPLAPSSKSTSGGTAALGCLVKDYFPEPVTVSWNSGALTSGVHTFPAVLQSSGLYSLSSVVTVPSSSLGTQTYICNVNHKPSNTKVDKRVEPKS</t>
  </si>
  <si>
    <t>SAPLQLGNCSVAGWILGNPECESLISKESWSYIVEGTCYPGYFADYEELREQLSSVSSFERFEIFPKESSWPNHTVTGVTASCSHNGKSSFYRNLLWLTEKNGLYPNLSNSYVNNKEKEVLVLWGVHHPSNIRDQRAIYHTENAYVSVVSSHYSRRFTPEIAKRPKVRGQEGRINYYWTLLEPGDTIIFEANGNLIAPWYAFALSRG</t>
  </si>
  <si>
    <t>QVQLQESGPGLVKPSGTLSLTCAVSGGSISSSNWWSWVRQPPGKGLEWIGEIYHGGSTNYNPSLKSRVTISVDKSKNQFSLKLSSVTAADTAVYYCARAPPYCTSASCPDDYYYYYMDVWGKGTTVTVSGASTKGPSVFPLAPSSKSTSGGTAALGCLVKDYFPEPVTVSWNSGALTSGVHTFPAVLQSSGLYSLSSVVTVPSSSLGTQTYICNVNHKPSNTKVDKRVEPK</t>
  </si>
  <si>
    <t>SAPLQLGNCSVAGWILGNPECESLISKESWSYIVEGTCYPGYFADYEELREQLSSVSSFERFEIFPKESSWPNHTVTGVTASCSHNGKSSFYRNLLWLTEKNDLYPNLSNSYVNNKEKEVLVLWGVHHPSNIRDQRAIYHTENAYVSVVSSHYSRRFTPEIAKRPKVRGQEGRINYYWTLLEPGDTIIFEANGNLIAPWYAFALSRG</t>
  </si>
  <si>
    <t>SAPLQLGNCSVAGWILGNPECESLISKESWSYIVEGTCYPGYFADYEELREQLSSVSSFERFEIFPKESSWPNHTVTGVTASCSHNGKSSFYRNLLWLTEKNKLYPNLSNSYVNNKEKEVLVLWGVHHPSNIRDQRAIYHTENAYVSVVSSHYSRRFTPEIAKRPKVRGQEGRINYYWTLLEPGDTIIFEANGNLIAPWYAFALSRG</t>
  </si>
  <si>
    <t>APLQLGNCSVAGWILGNPECESLISKESWSYIVETPNPENGTCYPGYFADYEELREQLSSVSSFERFEIFPKESSWPNHTVTGVTASCSHNGKSSFYRNLLWLTEKNGLYPNLSNSYVNNKEKEVLVLWGVHHPSNIRDQRAIYHTENAYVSVVSSHYSRRFTPEIAKRPKVRGQEGRINYYWTLLEPGDTIIFEANGNLIAPWYAFALSRG</t>
  </si>
  <si>
    <t>SELTQDPAVSVALGQTVRITCQGDSLRGYYASWYQQKPGQAPVLVIYGKNNRPSGIPDRFSGSSSGNTASLTITGAQAEDEADYYCNSRDSSGNHPVVFGGGTKLTVLGQPKGAPSVTLFPPSSEELQANKATLVCLISDFYPGAVTVAWKADSSPVKAGVETTTPSKQSNNKYAASSYLSLTPEQWKSHRSYSCQVTHEGSTVEKTVAPTEC</t>
  </si>
  <si>
    <t>QVQLQESGPGLVKPSGTLSLTCAVSGGSISSSNWWSWVRQPPGKGLEWIGEIYHGGSTNYNPSLKSRVTISVDKSKNQFSLKLSSVTAADTAVYYCARAPPYCTSASCPDDYYYYYMDVWGKGTTVTVSGASTKGPSVFPLAPSSKSTSGGTAALGCLVKDYFPEPVTVSWNSGALTSGVHTFPAVLQSSGLYSLSSVVTVPSSSLGTQTYICNVNHKPSNTKVDKRVEPKSC</t>
  </si>
  <si>
    <t>ASAPLQLGNCSVAGWILGNPECELLISRESWSYIVEKPNPENGTCYPGHFADYEELREQLSSVSSFERFEIFPKESSWPNHTTTGVSASCSHNGESSFYKNLLWLTGKNGLYPNLSKSYANNKEKEVLVLWGVHHPPNIGDQRALYHTENAYVSVVSSHYSRKFTPEIAKRPKVRDQEGRINYYWTLLEPGDTIIFEANGNLIAPRYAFALSRGF</t>
  </si>
  <si>
    <t>SELTQDPAVSVALGQTVRITCQGDSLRGYYASWHQQKPGQAPVLVIYGKNNRPSGIPDRFSGSRSGNTASLTITGAQAEDEADYYCASRDSSGNHPVVFGGGTKLTVLGQPKGAPSVTLFPPSSEELQANKATLVCLISDFYPGAVTVAWKADSSPVKAGVETTTPSKQSNNKYAASSYLSLTPEQWKSHRSYSCQVTHEGSTVEKTVAPT</t>
  </si>
  <si>
    <t>Z</t>
  </si>
  <si>
    <t>QVQLQESGPGLVKPSGTLSLTCAVSGGSISSSQWWSWVRQPPGKGLEWIGEISHGVYTNYNPSLKSRVTISADKSQNQFSLNLSSVTAADTAVYYCARAPPYCSSASCPDDYYYFFLDVWGKGTTVTVSGASTKGPSVFPLAPSSKSTSGGTAALGCLVKDYFPEPVTVSWNSGALTSGVHTFPAVLQSSGLYSLSSVVTVPSSSLGTQTYICNVNHKPSNTKVDKRVEPKS</t>
  </si>
  <si>
    <t>ELTQDPAVSVALGQTVRITCQGDSLRGYSASWYQLKPGQAPVLVIYGKNNRPSGIPDRFSGSTSGNRASLIITGTQAEDEADYYCNSRDTNGYRPVLFGGGTKLTVLGQPKGAPSVTLFPPSSEELQANKATLVCLISDFYPGAVTVAWKADSSPVKAGVETTTPSKQSNNKYAASSYLSLTPEQWKSHRSYSCQVTHEGSTVEKTVAPT</t>
  </si>
  <si>
    <t>QVQLQESGPGLVKPSGTLSLTCAISGGSISSSNWWTWVRQPPGKGLQWIGEIQHGGGTNYNPSLKSRATIFVDVSKNHFSLRLSSVTAADTAVYYCAKVPPYCTSASCPDDYYYHYMDVWGKGTTVTVSGASTKGPSVFPLAPSSKSTSGGTAALGCLVKDYFPEPVTVSWNSGALTSGVHTFPAVLQSSGLYSLSSVVTVPSSSLGTQTYICNVNHKPSNTKVDKRVEPK</t>
  </si>
  <si>
    <t>LHLGKCNIAGWILGNPECESLSTASWSYIVETSSDNGTCYPGDFIDYEELREQLSSVSRFEIFPKTSSWPNHDSNGVTAACPHAGAKSFYKNLIWLVKKGNSYPKLSKSYINDKGKEVLVLWGIHHPSTSADQQSLYQNADTYVFVGSSRYSKKFKPEIAIRPKVRDQEGRMNYYWTLVEPGDKITFEATGNLVVPRYAFAMERNAGSII</t>
  </si>
  <si>
    <t>SYELTQPLSVSVALGQTARITCGGNNIGIKNVHWYQQRPGQAPVLVIYTDINRPSGIPERFSGSNSGNTATLIISKAQAGDEADYFCQVWDSNTVVFGGGTKLTVSQPKAAPSVTLFPPSSEELQANKATLVCLISDFYPGAVTVAWKADSSPVKAGVETTTPSKQSNNKYAASSYLSLTPEQWKSHKSYSCQVTHEGSTVEKTVAPT</t>
  </si>
  <si>
    <t>QVTLRESGPALVKPTQTLTLTCTFSGFSLSTSGMCWIRRPPGKALEWLALIDWDDNKYYNTSLRTRLTISKDTSKNQVVLKVDPVDTGTYYCARMLYGDLDPWGQGTLVTVSSASTKGPSVFPLAPSSKSTSGGTAALGCLVKDYFPEPVTVSWNSGALTSGVHTFPAVLQSSGLYSLSSVVTVPSSSLGTQTYICNVNHKPSNTKVDKKVEPKS</t>
  </si>
  <si>
    <t>PLQLGNCSVAGWILGNPECESLISKESWSYIVETPNPENGTCYPGYFADYEELREQLSSVSSFERFEIFPKESSWPNHTVTGVTASCSHNGKSSFYRNLLWLTEKNGLYPNLSNSYVNNKEKEVLVLWGVHHPSNIRDQRAIYHTENAYVSVVSSHYSRRFTPEIAKRPKVRGQEGRINYYWTLLEPGDTIIFEANGNLIAPWYAFALSRG</t>
  </si>
  <si>
    <t>VLTQPPSVSAAPGQKVTISCSGSSSNIGNNYVSWFQQLPGTAPKLLIYDDDKRPSGIPDRFSGSKSGTSATLGITGLQTGDEADYYCGTWDSRLSAGVVFGGGTKLTVLGQPKGAPSVTLFPPSSEELQANKATLVCLISDFYPGAVTVAWKADSSPVKAGVETTTPSKQSNNKYAASSYLSLTPEQWKSHRSYSCQVTHEGSTVEKTVAP</t>
  </si>
  <si>
    <t>EVQLVESGGGLVQPGRSLRLSCTASGFTFGDYGMSWFRQAPGKGLEWVGFIRSKVYGGTTEYAASVKGRFIISRDDSKSIAYLQMNSLKTEDTAVYYCTRDWVRDIILLPALHLDYWGQGTLVTVSGASTKGPSVFPLAPSGGTAALGCLVKDYFPEPVTVSWNSGALTSGVHTFPAVLQSSGLYSLSSVVTVPSSSLGTQTYICNVNHKPSNTKVDKRVEP</t>
  </si>
  <si>
    <t>DTLCIGYHANNSTDTVDTVLEKNVTVTHSVNLLEDKHNGKLCKLRGVAPLHLGKCNIAGWILGNPECESLSTASSWSYIVETSNSDNGTCYPGDFINYEELREQLSSVSSFERFEIFPKTSSWPNHDSNKGVTAACPHAGAKSFYKNLIWLVKKGNSYPKLNQSYINDKGKEVLVLWGIHHPSTTADQQSLYQNADAYVFVGTSRYSKKFKPEIATRPKVRDQEGRMNYYWTLVEPGDKITFEATGNLVVPRYAFTMERNAGSGIIISDTPVHDCNTTCQTPEGAINTSLPFQNIHPITIGKCPKYVKSTKLRLATGLRNVPSIEGGWTGMVDGWYGYHHQNEQGSGYAADLKSTQNAIDKITNKVNSVIEKMNTQFTAVGKEFNHLEKRIENLNKKVDDGFLDIWTYNAELLVLLENERTLDYHDSNVKNLYEKVRNQLKNNAKEIGNGCFEFYHKCDNTCMESVKNGTYDYPKYSEEAKLNREKI</t>
  </si>
  <si>
    <t>SVLTQPPSASGAPGQSVTISCSGSSSNFGSNHVYWYQQLSGKAPKLLIYNNNRRPSGVPDRFSGSKSGTSASLAISGLQSEDEADYYCSVWDSSLNNVLFGGGTRLT</t>
  </si>
  <si>
    <t>EVQLVESGGGLAKPGGSLRLSCAASGFTFSTYAMHWVRQAPGKGLEWISGINSGGGSTWYTASVKGRFTISRDNSKSTLSLQMNSLRTEDTAVYYCAKDGGNAIFGLVITNYGLDSWGQGAVVTV</t>
  </si>
  <si>
    <t>SAPLHLGKCNIAGWILGNPECESLSTASWSYIVETPSSDNGTCYPGDFIDYEELREQLSSVSRFEIFPKTSSWPNHDSDGVTAACPHAGAKSFYKNLIWLVKKGNSYPKLSKSYINDKGKEVLVLWGIHHPSTSADQQSLYQNADAYVFVGSSRYSKTFKPEIAIRPKVRDREGRMNYYWTLVEPGDKITFEATGNLVVPRYAFAMERNAGSGL</t>
  </si>
  <si>
    <t>EIVLTQSPGTLSLSPGERATLSCRASQIDNKYLAWYQQKPGQAPRLLIYGASNRATGIPDRFSGSGSGTEFTLIISRLEPEDLAVYYCQQFGSSVYTFGQGTRLEIKRTVAAPSVFIFPPSDEQLKSGTASVVCLLNNFYPREAKVQWKVDNALQSGNSQESVTEQDSKDSTYSLSSTLTLSKADYEKHKVYACEVTHQGLSSPVTKSFNRG</t>
  </si>
  <si>
    <t>EVQLVESGGGLVRPGGSLTLTCAGSGFMFRSYDMHWVRQAAGKGLEWVAGMGKGGETFYAGSVKGRFTISRENARNSLYLQMHSLRAGDTAVYYCARALTEWLFQRGTRNHYYYGMDVWGQGTTITVSGASTKGPSVFPLAPSSKSTSGGTAALGCLVKDYFPEPVTVSWNSGALTSGVHTFPAVLQSSGLYSLSSVVTVPSSSLGTQTYICNVNHKPSNTKVDKRVEPK</t>
  </si>
  <si>
    <t>F</t>
  </si>
  <si>
    <t>DIVMTQSPDSLAVSLGERATINCKSSQSLLYSSRNKNYLAWYQQKPGQPPKLLIYWASTRESGVPDRLSGSGSGTDFTLTISSLQAEDVAVYYCQQYYSIPLTFGGGTKVEIKRTVAAPSVFIFPPSDEQLKSGTASVVCLLNNFYPREAKVQWKVDNALQSGNSQESVTEQDSKDSTYSLSSTLTLSKADYEKHKVYACEVTHQGLSSPVTKSFNRG</t>
  </si>
  <si>
    <t>EVQLVESGGGLVQPGGSLRLSCAASGFTVSRNYMSWVRQAPGKGLEWVSIIYSGDDTYYADSVKGRFTISRDNSKNTLYLEMRAEDTAVYYCARGEMGDGYYWAPFDYWGQGTLVTVSGASTKGPSVFPLAPSSKSTSGGTAALGCLVKDYFPEPVTVSWNSGALTSGVHTFPAVLQSSGLYSLSSVVTVPSSSLGTQTYICNVNHKPSNTKVDKRVEPK</t>
  </si>
  <si>
    <t>DTICIGYHANNSTDTVDTVCEKNVTVTHSVNLLEDSHNGKLCLLGIAPLQLGNCSVAGWILGNPECELLISREWSYIVEKPNPENTCYPGHFADYEELREQLSSVSSFERFEIFPSWPNHTTTGVSASCSHNGESSFYKNLLWLTGKNGLYPNLSKSYANNKEKEVLVLWGVHHPPNIGDQRALYHKENAYVSVVSSHYSRKFTPEIAKRPKVRDQEGRINYYWTLLEPGDTIIFEANGNLIAPRYAFALSRGFSGIINSNAPMDECDAKCQTPQGAINSSLPFQNVHPVTIGECPKYVRSAKLRMVTGLRNIPSAGFIEGGWTGMVDGWYGYHHQNEQGSGYAADQKSTQNAINCITNKVNSVIEKMNTQFTAVGKEFNKLERRMENLNKKVDDGFIDIWTYNAELLVLLENERTLDFHDSNVKNLYEKVKSQLKNNAKEIGNGCFEFYHKCNDECMESVKNGTYDYPKYSEESKLNREKI</t>
  </si>
  <si>
    <t>DIQMTQSPSSLSASVGDTVTITCRASQSISSWLAWYQQKPGKAPNLLIYRASTLQSGVPSRFSGSGSGTDFTLTISSLQSEDFATYFCQQSTSSPFTFGPGTKLDIK</t>
  </si>
  <si>
    <t>QVQLQESGPGLVKPSEILSLTCAVSGGSFSSYCWGWIRQPPGKGLEWIGSICSGGSNYLNPSLKSRVTLSVDTSKNQFSLILTAADTAVYYCAREGITIFDSWGQGAVVTVSS</t>
  </si>
  <si>
    <t>VAPLHLGKCNIAGWILGNPECESLSTASSWSYIVETPSSDNGTCYPGDFIDYEELREQLSSVSSFERFEIFPKTSSWPNHDSNKGVTAACPHAGAKSFYKNLIWLVKKGNSYPKLSKSYINDKGKEVLVLWGIHHPSTSADQQSLYQNADTYVFVGSSRYSKKFKPEIAIRPKVRDQEGRMNYYWTLVEPGDKITFEATGNLVVPRYAFAMERN</t>
  </si>
  <si>
    <t>DIVLTQSPASLAVSLGQRATISCKASQSVDFDGYNYLNWYQQKPGQPPKLLIYAASNLESGIPARFSGSGSGTDFTLNIHPVEEEDAATYFCQQSNEDPYTFGGGTKLEIKRADAAPTVSIFPPSSEQLTSGGASVVCFLNNFYPKDINVKWKIDGSERQNGVLNSWTDQDSKDSTYSMSSTLTLTKDEYERHNSYTCEATHKTSTSPIVKSFNR</t>
  </si>
  <si>
    <t>QIQLVQSGPELKKPGETVRISCKASGYTFTKNGMNWVQQAPGKGLKWVGWINTYTGEPSYADDFKGRFAFSLETSASTAYLQINNLKNEDMAAYFCARMVRDAMDFWGQGTSVTVSSAKTTPPSVYPLAPGSAAQTNSMVTLGCLVKGYFPEPVTVTWNSGSLSSGVHTFPAVLQSDLYTLSSSVTVPSSPRPSETVTCNVAHPASSTKVDKKIVPR</t>
  </si>
  <si>
    <t>DIVLTQSPASLAVSLGQRATISCKASQSVDFDGDSYMNWYQQKPGQPPKLLIYTTSNLESGIPARFSGSGSGTDFTLNIHPVEEEDAATYYCQQSSEDPYTFGGGTKLEIKRADGAPTVSIFPPSSEQLTSGGASVVCFLNNFYPKDINVKWKIDGSERQNGVLNSWTDQDSKDSTYSMSSTLTLTKDEYERHNSYTCEATHKTSTSPIVKSFNRN</t>
  </si>
  <si>
    <t>EVQLQESGPELVKPGASVKISCKASGYAFSRSWMNWVKQRPGKGLEWIGRIYPGDGDTNYNGKFKGKATLTADKSSSTAYMQLSSLTSEDSAVYFCARGSNSFAYWGQGTLVTVSGAKTTPPSVYPLAPGSAAQTNSMVTLGCLVKGYFPEPVTVTWNSGSLSSGVHTFPAVLQSDLYTLSSSVTVPSSTWPSETVTCNVAHPASSTKVDKKIVPRDCG</t>
  </si>
  <si>
    <t>TLCIGYHANNSTDTVDTVLEKNVTVTHSVNLLEDKHNGKLCKLRVAPLHLGKCNIAGWILGNPECESLSTASWSYIVETPSDNGTCYPGDFIDYEELREQLSSVSSFERFEIFPSWPNHDSNGVTAACPHAGAKSFYKNLIWLVKKGNSYPKLSKSYINDKGKEVLVLWGIHHPSTSADQQSLYQNADTYVFVGSSRYSKKFKPEIAIRPKVRDQEGRMNYYWTLVEPGDKITFEATGNLVVPRYAFAMERAGSGIIISDTPVHDCNTTCQTPKGAINTSLPFQNIHPITIGKCPKYVKSTKLRLATGLRNIP</t>
  </si>
  <si>
    <t>DIQMTQSPSSLSAFVGDRVTIACQASQDIRIHLNWYQQKPGKAPKLLIYDASNLEAGVPSRFSGSGSGTDFTFTISSLQPEDIATYYCQHYHNLPRTFGGGTKVEIK</t>
  </si>
  <si>
    <t>G</t>
  </si>
  <si>
    <t>VQLLESGGGLVQPGGSLSLSCAASGFTFSSFAMSWVRQAPVKGLEWVSMISGGGNTYYADSVKGRFTISRDNSKSTLYLQMTAEDTAVYYCAKSDSSGFEFWGQGTLVTVS</t>
  </si>
  <si>
    <t>TICIGYHANNSTDTVDTVL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IAGFIEGGWTGMVDGWYGYHHQNEQGSGYAADQKSTQNAINGITNKVNSVIEKMNTQFTAVGKEFNKLERRMENLNKKVDDGFLDIWTYNAELLVLLENERTLDFHDSNVKNLYEKVKSQLKNNAKEIGNGCFEFYHKCNNECMESVKNGTYDYPKYSEESKLNREKI</t>
  </si>
  <si>
    <t>EIVLTQSPGTLSLSPGERATVSCRASQSVTSTFLAWYQQRPGQAPRLLIYGASSRATGIPDRFSGSGSEADFTLTINRLEPEDFAVYYCQQYATSPWTFGQGTKVEIK</t>
  </si>
  <si>
    <t>QVQLVQSGAEVKKPGSSVKVSCTASGGTFSTYQFSWVRQAPGQGLEWMGRIVPIQGMDYAQKFRGRVTITADKWTSTVYMEVTSLRSEDTAVYYCATSRSMYFYYQLDVWGRGTTVTV</t>
  </si>
  <si>
    <t>DTICIGYHANNSTDTVDTVLEKNVTVTHSVNLLEDSHNGKLCLLKGIAPLQLGNCSVAGWILGNPECELLISKESWSYIVETPNPENGTCYPGYFADYEELREQLSSVSSFERFEIFPKESSWPNHTVTGVSASCSHNGKSSFYRNLLWLTGKNGLYPNLSKSYVNNKEKEVLVLWGVHHPPNIGNQRALYHTENAYVSVVSSHYSRRFTPEIAKRPKVRDQEGRINYYWTLLEPGDTIIFEANGNLIAPWYAFALSRGFGSGIITSNAPMDECDAKCQTPQGAINSSLPFQNVHPVTIGECPKYVRSAKLRMVTGLRNIPSAGFIEGGWTGMVDGWYGYHHQNEQGSGYAADQKSTQNAINGITNKVNSVIEKMNTQFTAVGKEFNKLERRMENLNKKVDDGFLDIWTYNAELLVLLENERTLDFHDSNVKNLYEKVKSQLKNNAKEIGNGCFEFYHKCNNECMESVKNGTYDYPKYSEESKLNREKIDGVK</t>
  </si>
  <si>
    <t>IVLTQAPFSLSLSPGERATLSCRASQSVSSSSLAWYHQKPGQAPRLLIYGASSRATGIPDRFSGSGSGTDFTLTISRLEPEDFSLYYCQQYGSSPLTFGQGTRLEIK</t>
  </si>
  <si>
    <t>QVQLVQSGAEVKKPGSSVKVSCKASGGTFSRYTISWVRQAPGQGLEWMGRISPIAGLENYAQKFQGRVTITADISTSTAYMELSSLRSDDTAVYYCAGSSGYYQPPPYWGQGTLVTVSS</t>
  </si>
  <si>
    <t>TVTHSVNLLEDSHNGKLCLLKGIAPLQLGNCSVAGWILGNPECELLISRESWSYIVEKPNPENGTCYPGHFADYEELREQLSSVSSFERFEIFPKESSWPNHTTTGVSASCSHNGESSFYKNLLWLTGKNGLYPNLSKSYANNKEKEVLVLWGVHHPPNIGDQRALYHTENAYVSVVSSHYSRKFTPEIAKRPKVRDQEGRINYYWTLLEPGDTIIFEANGNLIAPRYAFALSRGFGSGIINSNAPMDECDAKCQTPQGAINSSLPFQNVHPVTIGECPKYVRSAKLRMVTGLRFTAVGKEFNKLERRMENLNKKVDDGFIDIWTYNAELLVLLENERTLD</t>
  </si>
  <si>
    <t>DIVMTQSPASLAVSLGQRATISCRASKSVSTSGYSYIHWYQQKPGQPPKLLIYLATNLESGVPARFSGSGSGTDFTLNIHPVEEEDAATYYCQHSRDTPYTFGGGTKLEIKRTVAAPSVFIFPPSDEQLKSGTASVVCLLNNFYPREAKVQWKVDNALQSGNSQESVTEQDSKDSTYSLSSTLTLSKADYEKHKVYACEVTHQGLSSPVTKSFNRGEC</t>
  </si>
  <si>
    <t>QVQLVQSGAEVKKPGASVKVSCKASGYTFTGYYIHWVRQAPGQGLEWMGWINPNTGGTVYAQTFQARVTMTRDTSISTAYMELIRLRSDDTAVYYCARERGTGAPDAFNIWGQGTLVTVSGASTKGPSVFPLAPSGTAALGCLVKDYFPEPVTVSWNSGALTSGVHTFPAVLQSSGLYSLSSVVTVPSSSLGTQTYICNVNHKPSNTKVDKKVEP</t>
  </si>
  <si>
    <t>SDTLCIGYHANNSTDTVDTVLEKNVTVTHSVNLLEDKHNGKLCKLRGVAPLHLGKCNIAGWILGNPECESLSTASSWSYIVETSSSDNGTCYPGDFIDYEELREQLSSVSSFERFEIFPKTSSWPNHDSNKGVTAACPHAGAKGFYKNLIWLVKKGNSYPKLSKSYINDKGKEVLVLWGIHHPSTTADQQSLYQNADTYVFVGTSRYSKKFKPEIAIRPKVRDQEGRMNYYWTLVEPGDKITFEATGNLVVPRYAFAMERNSGIIISDTPVHDCNTTCQTPKGAINTSLPFQNIHPITIGKCPKYVKSTKLRLATGLRNVPAIAGFIEGGWTGMVDGWYGYHHQNEQGSGYAADLKSTQNAIDKITNKVNSVIEKMNTQFTAVGKEFNHLEKRIENLNKKVDDGFLDIWTYNAELLVLLENERTLDYHDSNVKNLYEKVRNQLKNNAKEIGNGCFEFYHKCDNTCMESVKNGTYDYPKYSEEAKLN</t>
  </si>
  <si>
    <t>DIQMTQSPSSVSASVGDRVTITCRASQGISSYLAWYQLKPGRAPKLLIYGATRLQSGVPSRFSGSGSGTDFTLTISGLQPEDFATYHCQQADSFPLTFGQGTRLEIKRTVAAPSVFIFPPSDEQLKSGTASVVCLLNNFYPREAKVQWKVDNALQSGNSQESVTEQDSKDSTYSLSSTLTLSKADYEKHKVYACEVTHQGLSSPVTKSFNRGEC</t>
  </si>
  <si>
    <t>EVQLVESGGGLVQPGGSLRLSCAASGFTFSTYNMNWVRQAPGKGLEWLSYISTSSNTIYYADSVKGRFTISRDNAKNSLFLQMNSLRDEDTAVYYCARDRGCSSTNCYVVGYYFYGMDVWGQGTTVTVSSASTKGPSVFPLAPSSKSTSGGTAALGCLVKDYFPEPVTVSWNSGALTSGVHTFPAVLQSSGLYSLSSVVTVPSSSLGTQTYICNVNHKPSNTKVDKKVE</t>
  </si>
  <si>
    <t>NSTDTVDTVLEKNVTVTHSVNLLEDSHNGKLCLLKGIAPLQLGNCSVAGWILGNPECESLISKESWSYIVETPNPENGTCYPGYFADYEELREQLSSVSSFERFEIFPKESSWPKHTVTGVTASCSHNGKSSFYRNLLWLTEKNGLYPNLSNSYVNNKEKEVLVLWGVHHPSNIGDQRAIYHTENAYVSVVSSHYSRRFTPEIAKRPKVRGQEGRINYYWTLLEPGDTIIFEANGNLIAPWYAFALSRGFGSGIITSNAPMNECDAKCQTPQGAINSSLPFQNVHPVTIGECPKYVRSTKLRMVTGLRNIVNSVIEKMNTQFTAVGKEFNKLERRMENLNKKVDDGFLDIWTYNAELLVLLENERTLDFHDSNVKNL</t>
  </si>
  <si>
    <t>DIVLTQSPASLAVSLGQRATISCKASQSVDFDGYNYLNWYQQKPGQPPKLLIYAASNLESGIPARFSGSGSGTDFTLNIHPVEEEDAATYFCQQSNEDPYTFGGGTKLEIK</t>
  </si>
  <si>
    <t>QIQLVQSGPELKKPGETVRISCKASGYTFTKNGMNWVQQAPGKGLKWVGWINTYTGEPSYADDFKGRFAFSLETSASTAYLQINNLKNEDMAAYFCARMVRDAMDFWGQGTSVTVS</t>
  </si>
  <si>
    <t>SDTICIGYHANNSTDTVDTVLEKNVTVTHSVNLLEDSHNGKLCRLKGTAPLQLGNCSVAGWILGNPECESLFSKESWSYIAETPKPENGTCYPGYFADYEELREQLSSVSSFERFEIFPKESSWPNHTVTKGVTAACSHNGKSSFYKNLLWLTEKNGLYPNLSKSYVNNKEKEVLVLWGVHHPSNIGDQRAIYHTENAYVSVVSSHYSRRFTPEIAKRPKVRGQEGRINYYWTLLEPGDTIIFEANGNLIAPWYAFALSRGFGSGIITSNASMGECDAKCQTPQGAINSSLPFQNVHPVTIGECPKYVRSTKLRMVTGLRNIPSGLFGAIAGFIEGGWTGMIDGWYGYHHQNEQGSGYAADQKSTQNAINGITNKVNSVIEKMNTQFTAVGKEFNKLERRMENLNKKVDDGFLDIWTYNAELLVLLENERTLDFHDSNVKNLYEKVKNQLKNNAKEIGNGCFEFYHKCNNECMESVKNGTYDYPKYSEE</t>
  </si>
  <si>
    <t>VLTQPPSVSAAPGQKVTISCSGSSSNIGNDYVSWYQQLPGTAPKLLIYDNNKRPSGIPDRFSGSKSGTSATLGITGLQTGDEANYYCATWDRRPTAYVVFGGGTKLTVL</t>
  </si>
  <si>
    <t>VQLVESGAEVKKPGSSVKVSCKASGGPFRSYAISWVRQAPGQGPEWMGGIIPIFGTTKYAPKFQGRVTITADDFAGTVYMELSSLRSEDTAMYYCAKHMGYQVRETMDVWGKGTTVTVS</t>
  </si>
  <si>
    <t>DTICVGYHANNSTDTVDTILEKNVTVTHSVNLLEDSHNGKLCSLNGKSPLQLGNCNVAGWILGNPECDLLLTADSWSYIIETSNSKNGACYPGEFTDYEELREQLSTVSSFERFEIFPKATSWPNHDTTKGTTVACSHSGAKSFYRNLLWIVQKENSYPKLSNSYTNNKGKRVLVIWGVHHPYRDQQALYRNNHTYVSVESSKYYQRFTPEIVARPKVREQAGRINYYWTLLDQGDTITFEATGNLIAPWHAFALKKGSSSGMMVSDAQVHNCTTKCQTPHGALKSNLPFQNVHPITIGECPKYVKSTQLRMATGLRNIPSGAIAGFIEGGWTGMIDGWYGYHHQNEHGSGYAADQKSTQIAIDGIRNKVNSVIEKMNIQFTSVGKEFNSLEKRMENLNKKVDDGFLDVWTYNAELLILLENERTLDYHDFNVKNLYEKVKSQLRNNAKEIGNGCFEFYHKCDNECMESVKNGTYNYP</t>
  </si>
  <si>
    <t>EIVLTQSPSSVSASVGDRVTITCRATQGISSWLAWYQQKPGKPPKLLIFGASSLQSGVPSRFSGSGSGTDFTLTISSLQPEDFATYFCQQAHSFPLTFGGGTKVEIK</t>
  </si>
  <si>
    <t>QVQLVESGGGVVQPGRSLRLSCAASGFPFSSYGMHWVRQAPGKGLEWVAGVSYDGSYKYYADSVKGRFTISRDSSKSTLYLQMNSLRPEDTAVYYCARPSAIFGIYIILNGLDVWGQGTTVTVS</t>
  </si>
  <si>
    <t>species</t>
  </si>
  <si>
    <t>species_or</t>
  </si>
  <si>
    <t>Homo sapiens                   -&gt;          human</t>
  </si>
  <si>
    <t>Lama Glama                      -&gt;          alpaca</t>
  </si>
  <si>
    <t>Macaca Fascicularis          -&gt;          rhesus</t>
  </si>
  <si>
    <t>Macaca Mulatta                -&gt;          rhesus</t>
  </si>
  <si>
    <t>Mus musculus                   -&gt;          mouse</t>
  </si>
  <si>
    <t>Homo sapiens  human</t>
  </si>
  <si>
    <t>mouse</t>
  </si>
  <si>
    <t>rhesus</t>
  </si>
  <si>
    <t>alpaca</t>
  </si>
  <si>
    <t>human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</si>
</sst>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EB6F-1766-6149-8613-7926E66030FA}">
  <dimension ref="A1:M45"/>
  <sheetViews>
    <sheetView workbookViewId="0">
      <selection activeCell="I31" sqref="A25:I31"/>
    </sheetView>
  </sheetViews>
  <sheetFormatPr baseColWidth="10" defaultRowHeight="16" x14ac:dyDescent="0.2"/>
  <cols>
    <col min="1" max="1" width="6.33203125" bestFit="1" customWidth="1"/>
    <col min="2" max="2" width="11.6640625" bestFit="1" customWidth="1"/>
    <col min="3" max="3" width="21.1640625" bestFit="1" customWidth="1"/>
    <col min="4" max="4" width="7.1640625" bestFit="1" customWidth="1"/>
    <col min="5" max="5" width="23.5" bestFit="1" customWidth="1"/>
    <col min="6" max="6" width="92.6640625" bestFit="1" customWidth="1"/>
    <col min="7" max="7" width="5.1640625" bestFit="1" customWidth="1"/>
    <col min="8" max="8" width="23.6640625" bestFit="1" customWidth="1"/>
    <col min="9" max="9" width="13.83203125" bestFit="1" customWidth="1"/>
    <col min="10" max="10" width="22.1640625" bestFit="1" customWidth="1"/>
    <col min="11" max="11" width="76.1640625" bestFit="1" customWidth="1"/>
    <col min="12" max="12" width="32.6640625" bestFit="1" customWidth="1"/>
    <col min="13" max="13" width="29.33203125" bestFit="1" customWidth="1"/>
  </cols>
  <sheetData>
    <row r="1" spans="1:13" s="1" customFormat="1" x14ac:dyDescent="0.2">
      <c r="A1" s="1" t="s">
        <v>0</v>
      </c>
      <c r="B1" s="1" t="s">
        <v>279</v>
      </c>
      <c r="C1" s="1" t="s">
        <v>7</v>
      </c>
      <c r="D1" s="1" t="s">
        <v>11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8</v>
      </c>
      <c r="L1" s="1" t="s">
        <v>9</v>
      </c>
      <c r="M1" s="1" t="s">
        <v>10</v>
      </c>
    </row>
    <row r="2" spans="1:13" x14ac:dyDescent="0.2">
      <c r="A2" t="s">
        <v>108</v>
      </c>
      <c r="B2" t="s">
        <v>112</v>
      </c>
      <c r="C2" t="s">
        <v>109</v>
      </c>
      <c r="D2">
        <v>1</v>
      </c>
      <c r="E2" t="s">
        <v>13</v>
      </c>
      <c r="F2" t="s">
        <v>102</v>
      </c>
      <c r="G2">
        <v>2006</v>
      </c>
      <c r="H2" t="s">
        <v>15</v>
      </c>
      <c r="I2">
        <v>2.8010000000000002</v>
      </c>
      <c r="J2" t="s">
        <v>16</v>
      </c>
      <c r="K2" t="s">
        <v>110</v>
      </c>
      <c r="L2" t="s">
        <v>111</v>
      </c>
      <c r="M2" t="s">
        <v>55</v>
      </c>
    </row>
    <row r="3" spans="1:13" x14ac:dyDescent="0.2">
      <c r="A3" t="s">
        <v>50</v>
      </c>
      <c r="B3" t="s">
        <v>56</v>
      </c>
      <c r="C3" t="s">
        <v>52</v>
      </c>
      <c r="D3">
        <v>1</v>
      </c>
      <c r="E3" t="s">
        <v>13</v>
      </c>
      <c r="F3" t="s">
        <v>51</v>
      </c>
      <c r="G3">
        <v>2006</v>
      </c>
      <c r="H3" t="s">
        <v>15</v>
      </c>
      <c r="I3">
        <v>2.5</v>
      </c>
      <c r="J3" t="s">
        <v>16</v>
      </c>
      <c r="K3" t="s">
        <v>53</v>
      </c>
      <c r="L3" t="s">
        <v>54</v>
      </c>
      <c r="M3" t="s">
        <v>55</v>
      </c>
    </row>
    <row r="4" spans="1:13" x14ac:dyDescent="0.2">
      <c r="A4" t="s">
        <v>179</v>
      </c>
      <c r="B4" t="s">
        <v>183</v>
      </c>
      <c r="C4" t="s">
        <v>180</v>
      </c>
      <c r="D4">
        <v>1</v>
      </c>
      <c r="E4" t="s">
        <v>13</v>
      </c>
      <c r="F4" t="s">
        <v>156</v>
      </c>
      <c r="G4">
        <v>1995</v>
      </c>
      <c r="H4" t="s">
        <v>15</v>
      </c>
      <c r="I4">
        <v>2.5499999999999998</v>
      </c>
      <c r="J4" t="s">
        <v>16</v>
      </c>
      <c r="K4" t="s">
        <v>181</v>
      </c>
      <c r="L4" t="s">
        <v>182</v>
      </c>
      <c r="M4" t="s">
        <v>68</v>
      </c>
    </row>
    <row r="5" spans="1:13" x14ac:dyDescent="0.2">
      <c r="A5" t="s">
        <v>173</v>
      </c>
      <c r="B5" t="s">
        <v>178</v>
      </c>
      <c r="C5" t="s">
        <v>175</v>
      </c>
      <c r="D5">
        <v>1</v>
      </c>
      <c r="E5" t="s">
        <v>174</v>
      </c>
      <c r="F5" t="s">
        <v>77</v>
      </c>
      <c r="G5">
        <v>2006</v>
      </c>
      <c r="H5" t="s">
        <v>15</v>
      </c>
      <c r="I5">
        <v>3</v>
      </c>
      <c r="J5" t="s">
        <v>16</v>
      </c>
      <c r="K5" t="s">
        <v>176</v>
      </c>
      <c r="L5" t="s">
        <v>177</v>
      </c>
      <c r="M5" t="s">
        <v>68</v>
      </c>
    </row>
    <row r="6" spans="1:13" x14ac:dyDescent="0.2">
      <c r="A6" t="s">
        <v>76</v>
      </c>
      <c r="B6" t="s">
        <v>82</v>
      </c>
      <c r="C6" t="s">
        <v>78</v>
      </c>
      <c r="D6">
        <v>1</v>
      </c>
      <c r="E6" t="s">
        <v>13</v>
      </c>
      <c r="F6" t="s">
        <v>77</v>
      </c>
      <c r="G6">
        <v>2006</v>
      </c>
      <c r="H6" t="s">
        <v>15</v>
      </c>
      <c r="I6">
        <v>2.72</v>
      </c>
      <c r="J6" t="s">
        <v>16</v>
      </c>
      <c r="K6" t="s">
        <v>79</v>
      </c>
      <c r="L6" t="s">
        <v>80</v>
      </c>
      <c r="M6" t="s">
        <v>81</v>
      </c>
    </row>
    <row r="7" spans="1:13" x14ac:dyDescent="0.2">
      <c r="A7" t="s">
        <v>101</v>
      </c>
      <c r="B7" t="s">
        <v>107</v>
      </c>
      <c r="C7" t="s">
        <v>103</v>
      </c>
      <c r="D7">
        <v>1</v>
      </c>
      <c r="E7" t="s">
        <v>13</v>
      </c>
      <c r="F7" t="s">
        <v>102</v>
      </c>
      <c r="G7">
        <v>2006</v>
      </c>
      <c r="H7" t="s">
        <v>15</v>
      </c>
      <c r="I7">
        <v>3.4</v>
      </c>
      <c r="J7" t="s">
        <v>16</v>
      </c>
      <c r="K7" t="s">
        <v>104</v>
      </c>
      <c r="L7" t="s">
        <v>105</v>
      </c>
      <c r="M7" t="s">
        <v>106</v>
      </c>
    </row>
    <row r="8" spans="1:13" x14ac:dyDescent="0.2">
      <c r="A8" t="s">
        <v>113</v>
      </c>
      <c r="B8" t="s">
        <v>118</v>
      </c>
      <c r="C8" t="s">
        <v>115</v>
      </c>
      <c r="D8">
        <v>1</v>
      </c>
      <c r="E8" t="s">
        <v>13</v>
      </c>
      <c r="F8" t="s">
        <v>102</v>
      </c>
      <c r="G8">
        <v>2006</v>
      </c>
      <c r="H8" t="s">
        <v>15</v>
      </c>
      <c r="I8">
        <v>4.8</v>
      </c>
      <c r="J8" t="s">
        <v>114</v>
      </c>
      <c r="K8" t="s">
        <v>116</v>
      </c>
      <c r="L8" t="s">
        <v>117</v>
      </c>
      <c r="M8" t="s">
        <v>81</v>
      </c>
    </row>
    <row r="9" spans="1:13" x14ac:dyDescent="0.2">
      <c r="A9" t="s">
        <v>161</v>
      </c>
      <c r="B9" t="s">
        <v>164</v>
      </c>
      <c r="C9" t="s">
        <v>282</v>
      </c>
      <c r="D9">
        <v>1</v>
      </c>
      <c r="E9" t="s">
        <v>13</v>
      </c>
      <c r="F9" t="s">
        <v>156</v>
      </c>
      <c r="G9">
        <v>1995</v>
      </c>
      <c r="H9" t="s">
        <v>15</v>
      </c>
      <c r="I9">
        <v>2.75</v>
      </c>
      <c r="J9" t="s">
        <v>16</v>
      </c>
      <c r="K9" t="s">
        <v>162</v>
      </c>
      <c r="L9" t="s">
        <v>163</v>
      </c>
      <c r="M9" t="s">
        <v>68</v>
      </c>
    </row>
    <row r="10" spans="1:13" x14ac:dyDescent="0.2">
      <c r="A10" t="s">
        <v>169</v>
      </c>
      <c r="B10" t="s">
        <v>172</v>
      </c>
      <c r="C10" t="s">
        <v>284</v>
      </c>
      <c r="D10">
        <v>1</v>
      </c>
      <c r="E10" t="s">
        <v>13</v>
      </c>
      <c r="F10" t="s">
        <v>156</v>
      </c>
      <c r="G10">
        <v>1995</v>
      </c>
      <c r="H10" t="s">
        <v>15</v>
      </c>
      <c r="I10">
        <v>2.5</v>
      </c>
      <c r="J10" t="s">
        <v>16</v>
      </c>
      <c r="K10" t="s">
        <v>170</v>
      </c>
      <c r="L10" t="s">
        <v>171</v>
      </c>
      <c r="M10" t="s">
        <v>68</v>
      </c>
    </row>
    <row r="11" spans="1:13" x14ac:dyDescent="0.2">
      <c r="A11" t="s">
        <v>165</v>
      </c>
      <c r="B11" t="s">
        <v>168</v>
      </c>
      <c r="C11" t="s">
        <v>283</v>
      </c>
      <c r="D11">
        <v>1</v>
      </c>
      <c r="E11" t="s">
        <v>13</v>
      </c>
      <c r="F11" t="s">
        <v>156</v>
      </c>
      <c r="G11">
        <v>1995</v>
      </c>
      <c r="H11" t="s">
        <v>15</v>
      </c>
      <c r="I11">
        <v>2.702</v>
      </c>
      <c r="J11" t="s">
        <v>16</v>
      </c>
      <c r="K11" t="s">
        <v>166</v>
      </c>
      <c r="L11" t="s">
        <v>167</v>
      </c>
      <c r="M11" t="s">
        <v>68</v>
      </c>
    </row>
    <row r="12" spans="1:13" x14ac:dyDescent="0.2">
      <c r="A12" t="s">
        <v>155</v>
      </c>
      <c r="B12" t="s">
        <v>160</v>
      </c>
      <c r="C12" t="s">
        <v>157</v>
      </c>
      <c r="D12">
        <v>1</v>
      </c>
      <c r="E12" t="s">
        <v>13</v>
      </c>
      <c r="F12" t="s">
        <v>156</v>
      </c>
      <c r="G12">
        <v>1995</v>
      </c>
      <c r="H12" t="s">
        <v>15</v>
      </c>
      <c r="I12">
        <v>2.15</v>
      </c>
      <c r="J12" t="s">
        <v>16</v>
      </c>
      <c r="K12" t="s">
        <v>158</v>
      </c>
      <c r="L12" t="s">
        <v>159</v>
      </c>
      <c r="M12" t="s">
        <v>68</v>
      </c>
    </row>
    <row r="13" spans="1:13" x14ac:dyDescent="0.2">
      <c r="A13" t="s">
        <v>195</v>
      </c>
      <c r="B13" t="s">
        <v>202</v>
      </c>
      <c r="C13" t="s">
        <v>198</v>
      </c>
      <c r="D13">
        <v>2</v>
      </c>
      <c r="E13" t="s">
        <v>13</v>
      </c>
      <c r="F13" t="s">
        <v>196</v>
      </c>
      <c r="G13">
        <v>2015</v>
      </c>
      <c r="H13" t="s">
        <v>197</v>
      </c>
      <c r="I13">
        <v>4.0999999999999996</v>
      </c>
      <c r="J13" t="s">
        <v>114</v>
      </c>
      <c r="K13" t="s">
        <v>199</v>
      </c>
      <c r="L13" t="s">
        <v>200</v>
      </c>
      <c r="M13" t="s">
        <v>201</v>
      </c>
    </row>
    <row r="14" spans="1:13" x14ac:dyDescent="0.2">
      <c r="A14" t="s">
        <v>259</v>
      </c>
      <c r="B14" t="s">
        <v>263</v>
      </c>
      <c r="C14" s="2" t="s">
        <v>287</v>
      </c>
      <c r="D14">
        <v>2</v>
      </c>
      <c r="E14" t="s">
        <v>13</v>
      </c>
      <c r="F14" t="s">
        <v>260</v>
      </c>
      <c r="G14">
        <v>2011</v>
      </c>
      <c r="H14" t="s">
        <v>15</v>
      </c>
      <c r="I14">
        <v>3.5</v>
      </c>
      <c r="J14" t="s">
        <v>114</v>
      </c>
      <c r="K14" t="s">
        <v>261</v>
      </c>
      <c r="L14" t="s">
        <v>262</v>
      </c>
      <c r="M14" t="s">
        <v>74</v>
      </c>
    </row>
    <row r="15" spans="1:13" x14ac:dyDescent="0.2">
      <c r="A15" t="s">
        <v>94</v>
      </c>
      <c r="B15" t="s">
        <v>100</v>
      </c>
      <c r="C15" t="s">
        <v>96</v>
      </c>
      <c r="D15">
        <v>2</v>
      </c>
      <c r="E15" t="s">
        <v>13</v>
      </c>
      <c r="F15" t="s">
        <v>95</v>
      </c>
      <c r="G15">
        <v>2009</v>
      </c>
      <c r="H15" t="s">
        <v>15</v>
      </c>
      <c r="I15">
        <v>3.387</v>
      </c>
      <c r="J15" t="s">
        <v>16</v>
      </c>
      <c r="K15" t="s">
        <v>97</v>
      </c>
      <c r="L15" t="s">
        <v>98</v>
      </c>
      <c r="M15" t="s">
        <v>99</v>
      </c>
    </row>
    <row r="16" spans="1:13" x14ac:dyDescent="0.2">
      <c r="A16" t="s">
        <v>247</v>
      </c>
      <c r="B16" t="s">
        <v>253</v>
      </c>
      <c r="C16" t="s">
        <v>249</v>
      </c>
      <c r="D16">
        <v>2</v>
      </c>
      <c r="E16" t="s">
        <v>13</v>
      </c>
      <c r="F16" t="s">
        <v>248</v>
      </c>
      <c r="G16">
        <v>2000</v>
      </c>
      <c r="H16" t="s">
        <v>15</v>
      </c>
      <c r="I16">
        <v>3.37</v>
      </c>
      <c r="J16" t="s">
        <v>114</v>
      </c>
      <c r="K16" t="s">
        <v>250</v>
      </c>
      <c r="L16" t="s">
        <v>251</v>
      </c>
      <c r="M16" t="s">
        <v>252</v>
      </c>
    </row>
    <row r="17" spans="1:13" x14ac:dyDescent="0.2">
      <c r="A17" t="s">
        <v>240</v>
      </c>
      <c r="B17" t="s">
        <v>246</v>
      </c>
      <c r="C17" t="s">
        <v>242</v>
      </c>
      <c r="D17">
        <v>2</v>
      </c>
      <c r="E17" t="s">
        <v>13</v>
      </c>
      <c r="F17" t="s">
        <v>241</v>
      </c>
      <c r="G17">
        <v>2000</v>
      </c>
      <c r="H17" t="s">
        <v>15</v>
      </c>
      <c r="I17">
        <v>3.2</v>
      </c>
      <c r="J17" t="s">
        <v>114</v>
      </c>
      <c r="K17" t="s">
        <v>243</v>
      </c>
      <c r="L17" t="s">
        <v>244</v>
      </c>
      <c r="M17" t="s">
        <v>245</v>
      </c>
    </row>
    <row r="18" spans="1:13" x14ac:dyDescent="0.2">
      <c r="A18" t="s">
        <v>89</v>
      </c>
      <c r="B18" t="s">
        <v>93</v>
      </c>
      <c r="C18" s="2" t="s">
        <v>281</v>
      </c>
      <c r="D18">
        <v>2</v>
      </c>
      <c r="E18" t="s">
        <v>13</v>
      </c>
      <c r="F18" t="s">
        <v>90</v>
      </c>
      <c r="G18">
        <v>2009</v>
      </c>
      <c r="H18" t="s">
        <v>15</v>
      </c>
      <c r="I18">
        <v>2.9</v>
      </c>
      <c r="J18" t="s">
        <v>16</v>
      </c>
      <c r="K18" t="s">
        <v>91</v>
      </c>
      <c r="L18" t="s">
        <v>92</v>
      </c>
      <c r="M18" t="s">
        <v>87</v>
      </c>
    </row>
    <row r="19" spans="1:13" x14ac:dyDescent="0.2">
      <c r="A19" t="s">
        <v>214</v>
      </c>
      <c r="B19" t="s">
        <v>221</v>
      </c>
      <c r="C19" t="s">
        <v>217</v>
      </c>
      <c r="D19">
        <v>2</v>
      </c>
      <c r="E19" t="s">
        <v>13</v>
      </c>
      <c r="F19" t="s">
        <v>215</v>
      </c>
      <c r="G19">
        <v>2006</v>
      </c>
      <c r="H19" t="s">
        <v>216</v>
      </c>
      <c r="I19">
        <v>3.85</v>
      </c>
      <c r="J19" t="s">
        <v>114</v>
      </c>
      <c r="K19" t="s">
        <v>218</v>
      </c>
      <c r="L19" t="s">
        <v>219</v>
      </c>
      <c r="M19" t="s">
        <v>220</v>
      </c>
    </row>
    <row r="20" spans="1:13" x14ac:dyDescent="0.2">
      <c r="A20" t="s">
        <v>12</v>
      </c>
      <c r="B20" t="s">
        <v>21</v>
      </c>
      <c r="C20" t="s">
        <v>17</v>
      </c>
      <c r="D20">
        <v>2</v>
      </c>
      <c r="E20" t="s">
        <v>13</v>
      </c>
      <c r="F20" t="s">
        <v>14</v>
      </c>
      <c r="G20">
        <v>1918</v>
      </c>
      <c r="H20" t="s">
        <v>15</v>
      </c>
      <c r="I20">
        <v>2.2000000000000002</v>
      </c>
      <c r="J20" t="s">
        <v>16</v>
      </c>
      <c r="K20" t="s">
        <v>18</v>
      </c>
      <c r="L20" t="s">
        <v>19</v>
      </c>
      <c r="M20" t="s">
        <v>20</v>
      </c>
    </row>
    <row r="21" spans="1:13" x14ac:dyDescent="0.2">
      <c r="A21" t="s">
        <v>268</v>
      </c>
      <c r="B21" t="s">
        <v>272</v>
      </c>
      <c r="C21" t="s">
        <v>17</v>
      </c>
      <c r="D21">
        <v>2</v>
      </c>
      <c r="E21" t="s">
        <v>13</v>
      </c>
      <c r="F21" t="s">
        <v>269</v>
      </c>
      <c r="G21">
        <v>1995</v>
      </c>
      <c r="H21" t="s">
        <v>15</v>
      </c>
      <c r="I21">
        <v>2.61</v>
      </c>
      <c r="J21" t="s">
        <v>114</v>
      </c>
      <c r="K21" t="s">
        <v>270</v>
      </c>
      <c r="L21" t="s">
        <v>271</v>
      </c>
      <c r="M21" t="s">
        <v>20</v>
      </c>
    </row>
    <row r="22" spans="1:13" x14ac:dyDescent="0.2">
      <c r="A22" t="s">
        <v>70</v>
      </c>
      <c r="B22" t="s">
        <v>75</v>
      </c>
      <c r="C22" t="s">
        <v>71</v>
      </c>
      <c r="D22">
        <v>2</v>
      </c>
      <c r="E22" t="s">
        <v>13</v>
      </c>
      <c r="F22" t="s">
        <v>23</v>
      </c>
      <c r="G22">
        <v>1918</v>
      </c>
      <c r="H22" t="s">
        <v>15</v>
      </c>
      <c r="I22">
        <v>2.91</v>
      </c>
      <c r="J22" t="s">
        <v>16</v>
      </c>
      <c r="K22" t="s">
        <v>72</v>
      </c>
      <c r="L22" t="s">
        <v>73</v>
      </c>
      <c r="M22" t="s">
        <v>74</v>
      </c>
    </row>
    <row r="23" spans="1:13" x14ac:dyDescent="0.2">
      <c r="A23" t="s">
        <v>29</v>
      </c>
      <c r="B23" t="s">
        <v>35</v>
      </c>
      <c r="C23" t="s">
        <v>31</v>
      </c>
      <c r="D23">
        <v>2</v>
      </c>
      <c r="E23" t="s">
        <v>13</v>
      </c>
      <c r="F23" t="s">
        <v>30</v>
      </c>
      <c r="G23">
        <v>2009</v>
      </c>
      <c r="H23" t="s">
        <v>15</v>
      </c>
      <c r="I23">
        <v>3.0009999999999999</v>
      </c>
      <c r="J23" t="s">
        <v>16</v>
      </c>
      <c r="K23" t="s">
        <v>32</v>
      </c>
      <c r="L23" t="s">
        <v>33</v>
      </c>
      <c r="M23" t="s">
        <v>34</v>
      </c>
    </row>
    <row r="24" spans="1:13" x14ac:dyDescent="0.2">
      <c r="A24" t="s">
        <v>273</v>
      </c>
      <c r="B24" t="s">
        <v>278</v>
      </c>
      <c r="C24" t="s">
        <v>275</v>
      </c>
      <c r="D24">
        <v>2</v>
      </c>
      <c r="E24" t="s">
        <v>13</v>
      </c>
      <c r="F24" t="s">
        <v>274</v>
      </c>
      <c r="G24">
        <v>2013</v>
      </c>
      <c r="H24" t="s">
        <v>15</v>
      </c>
      <c r="I24">
        <v>3.2</v>
      </c>
      <c r="J24" t="s">
        <v>16</v>
      </c>
      <c r="K24" t="s">
        <v>276</v>
      </c>
      <c r="L24" t="s">
        <v>277</v>
      </c>
      <c r="M24" t="s">
        <v>74</v>
      </c>
    </row>
    <row r="25" spans="1:13" x14ac:dyDescent="0.2">
      <c r="A25" t="s">
        <v>137</v>
      </c>
      <c r="B25" t="s">
        <v>143</v>
      </c>
      <c r="C25" t="s">
        <v>139</v>
      </c>
      <c r="D25">
        <v>2</v>
      </c>
      <c r="E25" t="s">
        <v>13</v>
      </c>
      <c r="F25" t="s">
        <v>102</v>
      </c>
      <c r="G25">
        <v>2006</v>
      </c>
      <c r="H25" t="s">
        <v>138</v>
      </c>
      <c r="I25">
        <v>2.8</v>
      </c>
      <c r="J25" t="s">
        <v>16</v>
      </c>
      <c r="K25" t="s">
        <v>140</v>
      </c>
      <c r="L25" t="s">
        <v>141</v>
      </c>
      <c r="M25" t="s">
        <v>142</v>
      </c>
    </row>
    <row r="26" spans="1:13" x14ac:dyDescent="0.2">
      <c r="A26" t="s">
        <v>222</v>
      </c>
      <c r="B26" t="s">
        <v>228</v>
      </c>
      <c r="C26" t="s">
        <v>224</v>
      </c>
      <c r="D26">
        <v>3</v>
      </c>
      <c r="E26" t="s">
        <v>13</v>
      </c>
      <c r="F26" t="s">
        <v>95</v>
      </c>
      <c r="G26">
        <v>2009</v>
      </c>
      <c r="H26" t="s">
        <v>223</v>
      </c>
      <c r="I26">
        <v>3.1509999999999998</v>
      </c>
      <c r="J26" t="s">
        <v>16</v>
      </c>
      <c r="K26" t="s">
        <v>225</v>
      </c>
      <c r="L26" t="s">
        <v>226</v>
      </c>
      <c r="M26" t="s">
        <v>227</v>
      </c>
    </row>
    <row r="27" spans="1:13" x14ac:dyDescent="0.2">
      <c r="A27" t="s">
        <v>264</v>
      </c>
      <c r="B27" t="s">
        <v>267</v>
      </c>
      <c r="C27" t="s">
        <v>224</v>
      </c>
      <c r="D27">
        <v>3</v>
      </c>
      <c r="E27" t="s">
        <v>13</v>
      </c>
      <c r="F27" t="s">
        <v>156</v>
      </c>
      <c r="G27">
        <v>1995</v>
      </c>
      <c r="H27" t="s">
        <v>223</v>
      </c>
      <c r="I27">
        <v>3.14</v>
      </c>
      <c r="J27" t="s">
        <v>114</v>
      </c>
      <c r="K27" t="s">
        <v>265</v>
      </c>
      <c r="L27" t="s">
        <v>266</v>
      </c>
      <c r="M27" t="s">
        <v>227</v>
      </c>
    </row>
    <row r="28" spans="1:13" x14ac:dyDescent="0.2">
      <c r="A28" t="s">
        <v>63</v>
      </c>
      <c r="B28" t="s">
        <v>69</v>
      </c>
      <c r="C28" t="s">
        <v>65</v>
      </c>
      <c r="D28">
        <v>3</v>
      </c>
      <c r="E28" t="s">
        <v>13</v>
      </c>
      <c r="F28" t="s">
        <v>64</v>
      </c>
      <c r="G28">
        <v>2009</v>
      </c>
      <c r="H28" t="s">
        <v>15</v>
      </c>
      <c r="I28">
        <v>2.25</v>
      </c>
      <c r="J28" t="s">
        <v>16</v>
      </c>
      <c r="K28" t="s">
        <v>66</v>
      </c>
      <c r="L28" t="s">
        <v>67</v>
      </c>
      <c r="M28" t="s">
        <v>68</v>
      </c>
    </row>
    <row r="29" spans="1:13" x14ac:dyDescent="0.2">
      <c r="A29" t="s">
        <v>83</v>
      </c>
      <c r="B29" t="s">
        <v>88</v>
      </c>
      <c r="C29" t="s">
        <v>84</v>
      </c>
      <c r="D29">
        <v>3</v>
      </c>
      <c r="E29" t="s">
        <v>13</v>
      </c>
      <c r="F29" t="s">
        <v>77</v>
      </c>
      <c r="G29">
        <v>2006</v>
      </c>
      <c r="H29" t="s">
        <v>15</v>
      </c>
      <c r="I29">
        <v>2.8</v>
      </c>
      <c r="J29" t="s">
        <v>16</v>
      </c>
      <c r="K29" t="s">
        <v>85</v>
      </c>
      <c r="L29" t="s">
        <v>86</v>
      </c>
      <c r="M29" t="s">
        <v>87</v>
      </c>
    </row>
    <row r="30" spans="1:13" x14ac:dyDescent="0.2">
      <c r="A30" t="s">
        <v>144</v>
      </c>
      <c r="B30" t="s">
        <v>149</v>
      </c>
      <c r="C30" t="s">
        <v>146</v>
      </c>
      <c r="D30">
        <v>3</v>
      </c>
      <c r="E30" t="s">
        <v>13</v>
      </c>
      <c r="F30" t="s">
        <v>145</v>
      </c>
      <c r="G30">
        <v>1957</v>
      </c>
      <c r="H30" t="s">
        <v>15</v>
      </c>
      <c r="I30">
        <v>2.92</v>
      </c>
      <c r="J30" t="s">
        <v>16</v>
      </c>
      <c r="K30" t="s">
        <v>147</v>
      </c>
      <c r="L30" t="s">
        <v>148</v>
      </c>
      <c r="M30" t="s">
        <v>74</v>
      </c>
    </row>
    <row r="31" spans="1:13" x14ac:dyDescent="0.2">
      <c r="A31" t="s">
        <v>191</v>
      </c>
      <c r="B31" t="s">
        <v>194</v>
      </c>
      <c r="C31" t="s">
        <v>285</v>
      </c>
      <c r="D31">
        <v>3</v>
      </c>
      <c r="E31" t="s">
        <v>13</v>
      </c>
      <c r="F31" t="s">
        <v>156</v>
      </c>
      <c r="G31">
        <v>1995</v>
      </c>
      <c r="H31" t="s">
        <v>15</v>
      </c>
      <c r="I31">
        <v>2.6</v>
      </c>
      <c r="J31" t="s">
        <v>16</v>
      </c>
      <c r="K31" t="s">
        <v>192</v>
      </c>
      <c r="L31" t="s">
        <v>193</v>
      </c>
      <c r="M31" t="s">
        <v>48</v>
      </c>
    </row>
    <row r="32" spans="1:13" x14ac:dyDescent="0.2">
      <c r="A32" t="s">
        <v>22</v>
      </c>
      <c r="B32" t="s">
        <v>28</v>
      </c>
      <c r="C32" t="s">
        <v>24</v>
      </c>
      <c r="D32">
        <v>4</v>
      </c>
      <c r="E32" t="s">
        <v>13</v>
      </c>
      <c r="F32" t="s">
        <v>23</v>
      </c>
      <c r="G32">
        <v>1918</v>
      </c>
      <c r="H32" t="s">
        <v>15</v>
      </c>
      <c r="I32">
        <v>2.8</v>
      </c>
      <c r="J32" t="s">
        <v>16</v>
      </c>
      <c r="K32" t="s">
        <v>25</v>
      </c>
      <c r="L32" t="s">
        <v>26</v>
      </c>
      <c r="M32" t="s">
        <v>27</v>
      </c>
    </row>
    <row r="33" spans="1:13" x14ac:dyDescent="0.2">
      <c r="A33" t="s">
        <v>130</v>
      </c>
      <c r="B33" t="s">
        <v>136</v>
      </c>
      <c r="C33" t="s">
        <v>132</v>
      </c>
      <c r="D33">
        <v>4</v>
      </c>
      <c r="E33" t="s">
        <v>13</v>
      </c>
      <c r="F33" t="s">
        <v>131</v>
      </c>
      <c r="G33">
        <v>2009</v>
      </c>
      <c r="H33" t="s">
        <v>15</v>
      </c>
      <c r="I33">
        <v>3.15</v>
      </c>
      <c r="J33" t="s">
        <v>16</v>
      </c>
      <c r="K33" t="s">
        <v>133</v>
      </c>
      <c r="L33" t="s">
        <v>134</v>
      </c>
      <c r="M33" t="s">
        <v>135</v>
      </c>
    </row>
    <row r="34" spans="1:13" x14ac:dyDescent="0.2">
      <c r="A34" t="s">
        <v>254</v>
      </c>
      <c r="B34" t="s">
        <v>258</v>
      </c>
      <c r="C34" t="s">
        <v>255</v>
      </c>
      <c r="D34">
        <v>4</v>
      </c>
      <c r="E34" t="s">
        <v>13</v>
      </c>
      <c r="F34" t="s">
        <v>102</v>
      </c>
      <c r="G34">
        <v>2006</v>
      </c>
      <c r="H34" t="s">
        <v>223</v>
      </c>
      <c r="I34">
        <v>3.36</v>
      </c>
      <c r="J34" t="s">
        <v>114</v>
      </c>
      <c r="K34" t="s">
        <v>256</v>
      </c>
      <c r="L34" t="s">
        <v>257</v>
      </c>
      <c r="M34" t="s">
        <v>233</v>
      </c>
    </row>
    <row r="35" spans="1:13" x14ac:dyDescent="0.2">
      <c r="A35" t="s">
        <v>124</v>
      </c>
      <c r="B35" t="s">
        <v>129</v>
      </c>
      <c r="C35" t="s">
        <v>126</v>
      </c>
      <c r="D35">
        <v>4</v>
      </c>
      <c r="E35" t="s">
        <v>13</v>
      </c>
      <c r="F35" t="s">
        <v>125</v>
      </c>
      <c r="G35">
        <v>2009</v>
      </c>
      <c r="H35" t="s">
        <v>15</v>
      </c>
      <c r="I35">
        <v>3.35</v>
      </c>
      <c r="J35" t="s">
        <v>16</v>
      </c>
      <c r="K35" t="s">
        <v>127</v>
      </c>
      <c r="L35" t="s">
        <v>128</v>
      </c>
      <c r="M35" t="s">
        <v>74</v>
      </c>
    </row>
    <row r="36" spans="1:13" x14ac:dyDescent="0.2">
      <c r="A36" t="s">
        <v>119</v>
      </c>
      <c r="B36" t="s">
        <v>123</v>
      </c>
      <c r="C36" s="2">
        <v>6649</v>
      </c>
      <c r="D36">
        <v>5</v>
      </c>
      <c r="E36" t="s">
        <v>13</v>
      </c>
      <c r="F36" t="s">
        <v>102</v>
      </c>
      <c r="G36">
        <v>2006</v>
      </c>
      <c r="H36" t="s">
        <v>15</v>
      </c>
      <c r="I36">
        <v>2.79</v>
      </c>
      <c r="J36" t="s">
        <v>16</v>
      </c>
      <c r="K36" t="s">
        <v>120</v>
      </c>
      <c r="L36" t="s">
        <v>121</v>
      </c>
      <c r="M36" t="s">
        <v>122</v>
      </c>
    </row>
    <row r="37" spans="1:13" x14ac:dyDescent="0.2">
      <c r="A37" t="s">
        <v>235</v>
      </c>
      <c r="B37" t="s">
        <v>239</v>
      </c>
      <c r="C37" t="s">
        <v>236</v>
      </c>
      <c r="D37">
        <v>5</v>
      </c>
      <c r="E37" t="s">
        <v>13</v>
      </c>
      <c r="F37" t="s">
        <v>95</v>
      </c>
      <c r="G37">
        <v>2009</v>
      </c>
      <c r="H37" t="s">
        <v>15</v>
      </c>
      <c r="I37">
        <v>3.2</v>
      </c>
      <c r="J37" t="s">
        <v>114</v>
      </c>
      <c r="K37" t="s">
        <v>237</v>
      </c>
      <c r="L37" t="s">
        <v>238</v>
      </c>
      <c r="M37" t="s">
        <v>74</v>
      </c>
    </row>
    <row r="38" spans="1:13" x14ac:dyDescent="0.2">
      <c r="A38" t="s">
        <v>57</v>
      </c>
      <c r="B38" t="s">
        <v>62</v>
      </c>
      <c r="C38" t="s">
        <v>58</v>
      </c>
      <c r="D38">
        <v>5</v>
      </c>
      <c r="E38" t="s">
        <v>13</v>
      </c>
      <c r="F38" t="s">
        <v>37</v>
      </c>
      <c r="G38">
        <v>2009</v>
      </c>
      <c r="H38" t="s">
        <v>38</v>
      </c>
      <c r="I38">
        <v>2.8</v>
      </c>
      <c r="J38" t="s">
        <v>16</v>
      </c>
      <c r="K38" t="s">
        <v>59</v>
      </c>
      <c r="L38" t="s">
        <v>60</v>
      </c>
      <c r="M38" t="s">
        <v>61</v>
      </c>
    </row>
    <row r="39" spans="1:13" x14ac:dyDescent="0.2">
      <c r="A39" t="s">
        <v>36</v>
      </c>
      <c r="B39" t="s">
        <v>42</v>
      </c>
      <c r="C39" t="s">
        <v>280</v>
      </c>
      <c r="D39">
        <v>5</v>
      </c>
      <c r="E39" t="s">
        <v>13</v>
      </c>
      <c r="F39" t="s">
        <v>37</v>
      </c>
      <c r="G39">
        <v>2009</v>
      </c>
      <c r="H39" t="s">
        <v>38</v>
      </c>
      <c r="I39">
        <v>2.81</v>
      </c>
      <c r="J39" t="s">
        <v>16</v>
      </c>
      <c r="K39" t="s">
        <v>39</v>
      </c>
      <c r="L39" t="s">
        <v>40</v>
      </c>
      <c r="M39" t="s">
        <v>41</v>
      </c>
    </row>
    <row r="40" spans="1:13" x14ac:dyDescent="0.2">
      <c r="A40" t="s">
        <v>150</v>
      </c>
      <c r="B40" t="s">
        <v>154</v>
      </c>
      <c r="C40" t="s">
        <v>151</v>
      </c>
      <c r="D40">
        <v>6</v>
      </c>
      <c r="E40" t="s">
        <v>13</v>
      </c>
      <c r="F40" t="s">
        <v>102</v>
      </c>
      <c r="G40">
        <v>2006</v>
      </c>
      <c r="H40" t="s">
        <v>15</v>
      </c>
      <c r="I40">
        <v>2.85</v>
      </c>
      <c r="J40" t="s">
        <v>16</v>
      </c>
      <c r="K40" t="s">
        <v>152</v>
      </c>
      <c r="L40" t="s">
        <v>153</v>
      </c>
      <c r="M40" t="s">
        <v>87</v>
      </c>
    </row>
    <row r="41" spans="1:13" x14ac:dyDescent="0.2">
      <c r="A41" t="s">
        <v>203</v>
      </c>
      <c r="B41" t="s">
        <v>208</v>
      </c>
      <c r="C41" t="s">
        <v>205</v>
      </c>
      <c r="D41">
        <v>6</v>
      </c>
      <c r="E41" t="s">
        <v>13</v>
      </c>
      <c r="F41" t="s">
        <v>204</v>
      </c>
      <c r="G41">
        <v>2009</v>
      </c>
      <c r="H41" t="s">
        <v>15</v>
      </c>
      <c r="I41">
        <v>2.2999999999999998</v>
      </c>
      <c r="J41" t="s">
        <v>16</v>
      </c>
      <c r="K41" t="s">
        <v>206</v>
      </c>
      <c r="L41" t="s">
        <v>207</v>
      </c>
      <c r="M41" t="s">
        <v>106</v>
      </c>
    </row>
    <row r="42" spans="1:13" x14ac:dyDescent="0.2">
      <c r="A42" t="s">
        <v>209</v>
      </c>
      <c r="B42" t="s">
        <v>213</v>
      </c>
      <c r="C42" t="s">
        <v>210</v>
      </c>
      <c r="D42">
        <v>6</v>
      </c>
      <c r="E42" t="s">
        <v>13</v>
      </c>
      <c r="F42" t="s">
        <v>156</v>
      </c>
      <c r="G42">
        <v>1995</v>
      </c>
      <c r="H42" t="s">
        <v>15</v>
      </c>
      <c r="I42">
        <v>3.347</v>
      </c>
      <c r="J42" t="s">
        <v>16</v>
      </c>
      <c r="K42" t="s">
        <v>211</v>
      </c>
      <c r="L42" t="s">
        <v>212</v>
      </c>
      <c r="M42" t="s">
        <v>34</v>
      </c>
    </row>
    <row r="43" spans="1:13" x14ac:dyDescent="0.2">
      <c r="A43" t="s">
        <v>43</v>
      </c>
      <c r="B43" t="s">
        <v>49</v>
      </c>
      <c r="C43" t="s">
        <v>45</v>
      </c>
      <c r="D43">
        <v>7</v>
      </c>
      <c r="E43" t="s">
        <v>13</v>
      </c>
      <c r="F43" t="s">
        <v>44</v>
      </c>
      <c r="G43">
        <v>1918</v>
      </c>
      <c r="H43" t="s">
        <v>15</v>
      </c>
      <c r="I43">
        <v>3.294</v>
      </c>
      <c r="J43" t="s">
        <v>16</v>
      </c>
      <c r="K43" t="s">
        <v>46</v>
      </c>
      <c r="L43" t="s">
        <v>47</v>
      </c>
      <c r="M43" t="s">
        <v>48</v>
      </c>
    </row>
    <row r="44" spans="1:13" x14ac:dyDescent="0.2">
      <c r="A44" t="s">
        <v>184</v>
      </c>
      <c r="B44" t="s">
        <v>190</v>
      </c>
      <c r="C44" t="s">
        <v>186</v>
      </c>
      <c r="D44">
        <v>7</v>
      </c>
      <c r="E44" t="s">
        <v>13</v>
      </c>
      <c r="F44" t="s">
        <v>185</v>
      </c>
      <c r="G44">
        <v>2009</v>
      </c>
      <c r="H44" t="s">
        <v>15</v>
      </c>
      <c r="I44">
        <v>2.65</v>
      </c>
      <c r="J44" t="s">
        <v>16</v>
      </c>
      <c r="K44" t="s">
        <v>187</v>
      </c>
      <c r="L44" t="s">
        <v>188</v>
      </c>
      <c r="M44" t="s">
        <v>189</v>
      </c>
    </row>
    <row r="45" spans="1:13" x14ac:dyDescent="0.2">
      <c r="A45" t="s">
        <v>229</v>
      </c>
      <c r="B45" t="s">
        <v>234</v>
      </c>
      <c r="C45" t="s">
        <v>286</v>
      </c>
      <c r="D45">
        <v>8</v>
      </c>
      <c r="E45" t="s">
        <v>13</v>
      </c>
      <c r="F45" t="s">
        <v>230</v>
      </c>
      <c r="G45">
        <v>2006</v>
      </c>
      <c r="H45" t="s">
        <v>223</v>
      </c>
      <c r="I45">
        <v>3.9009999999999998</v>
      </c>
      <c r="J45" t="s">
        <v>16</v>
      </c>
      <c r="K45" t="s">
        <v>231</v>
      </c>
      <c r="L45" t="s">
        <v>232</v>
      </c>
      <c r="M45" t="s">
        <v>233</v>
      </c>
    </row>
  </sheetData>
  <autoFilter ref="A1:M45" xr:uid="{3E98EB6F-1766-6149-8613-7926E66030FA}">
    <sortState xmlns:xlrd2="http://schemas.microsoft.com/office/spreadsheetml/2017/richdata2" ref="A2:M45">
      <sortCondition ref="D1:D45"/>
    </sortState>
  </autoFilter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9DB9-5916-6543-98FE-B525C5FC0FE9}">
  <dimension ref="A1:F172"/>
  <sheetViews>
    <sheetView tabSelected="1" workbookViewId="0">
      <selection activeCell="I20" sqref="I20"/>
    </sheetView>
  </sheetViews>
  <sheetFormatPr baseColWidth="10" defaultRowHeight="16" x14ac:dyDescent="0.2"/>
  <sheetData>
    <row r="1" spans="1:6" x14ac:dyDescent="0.2">
      <c r="A1" t="s">
        <v>0</v>
      </c>
      <c r="B1" t="s">
        <v>288</v>
      </c>
      <c r="C1" t="s">
        <v>289</v>
      </c>
      <c r="D1" t="s">
        <v>290</v>
      </c>
      <c r="E1" t="s">
        <v>437</v>
      </c>
      <c r="F1" t="s">
        <v>436</v>
      </c>
    </row>
    <row r="2" spans="1:6" x14ac:dyDescent="0.2">
      <c r="A2" t="s">
        <v>12</v>
      </c>
      <c r="B2" t="s">
        <v>291</v>
      </c>
      <c r="C2">
        <v>493</v>
      </c>
      <c r="D2" t="s">
        <v>292</v>
      </c>
      <c r="E2" t="str">
        <f>VLOOKUP(A2,ha_antibody_complexes!A:H,8,FALSE)</f>
        <v>Homo sapiens</v>
      </c>
      <c r="F2" t="str">
        <f>VLOOKUP(E2,species_dict!A:B,2,FALSE)</f>
        <v>human</v>
      </c>
    </row>
    <row r="3" spans="1:6" x14ac:dyDescent="0.2">
      <c r="A3" t="s">
        <v>12</v>
      </c>
      <c r="B3" t="s">
        <v>293</v>
      </c>
      <c r="C3">
        <v>145</v>
      </c>
      <c r="D3" t="s">
        <v>294</v>
      </c>
      <c r="E3" t="str">
        <f>VLOOKUP(A3,ha_antibody_complexes!A:H,8,FALSE)</f>
        <v>Homo sapiens</v>
      </c>
      <c r="F3" t="str">
        <f>VLOOKUP(E3,species_dict!A:B,2,FALSE)</f>
        <v>human</v>
      </c>
    </row>
    <row r="4" spans="1:6" x14ac:dyDescent="0.2">
      <c r="A4" t="s">
        <v>12</v>
      </c>
      <c r="B4" t="s">
        <v>295</v>
      </c>
      <c r="C4">
        <v>152</v>
      </c>
      <c r="D4" t="s">
        <v>296</v>
      </c>
      <c r="E4" t="str">
        <f>VLOOKUP(A4,ha_antibody_complexes!A:H,8,FALSE)</f>
        <v>Homo sapiens</v>
      </c>
      <c r="F4" t="str">
        <f>VLOOKUP(E4,species_dict!A:B,2,FALSE)</f>
        <v>human</v>
      </c>
    </row>
    <row r="5" spans="1:6" x14ac:dyDescent="0.2">
      <c r="A5" t="s">
        <v>22</v>
      </c>
      <c r="B5" t="s">
        <v>291</v>
      </c>
      <c r="C5">
        <v>488</v>
      </c>
      <c r="D5" t="s">
        <v>297</v>
      </c>
      <c r="E5" t="str">
        <f>VLOOKUP(A5,ha_antibody_complexes!A:H,8,FALSE)</f>
        <v>Homo sapiens</v>
      </c>
      <c r="F5" t="str">
        <f>VLOOKUP(E5,species_dict!A:B,2,FALSE)</f>
        <v>human</v>
      </c>
    </row>
    <row r="6" spans="1:6" x14ac:dyDescent="0.2">
      <c r="A6" t="s">
        <v>22</v>
      </c>
      <c r="B6" t="s">
        <v>293</v>
      </c>
      <c r="C6">
        <v>206</v>
      </c>
      <c r="D6" t="s">
        <v>298</v>
      </c>
      <c r="E6" t="str">
        <f>VLOOKUP(A6,ha_antibody_complexes!A:H,8,FALSE)</f>
        <v>Homo sapiens</v>
      </c>
      <c r="F6" t="str">
        <f>VLOOKUP(E6,species_dict!A:B,2,FALSE)</f>
        <v>human</v>
      </c>
    </row>
    <row r="7" spans="1:6" x14ac:dyDescent="0.2">
      <c r="A7" t="s">
        <v>22</v>
      </c>
      <c r="B7" t="s">
        <v>295</v>
      </c>
      <c r="C7">
        <v>202</v>
      </c>
      <c r="D7" t="s">
        <v>299</v>
      </c>
      <c r="E7" t="str">
        <f>VLOOKUP(A7,ha_antibody_complexes!A:H,8,FALSE)</f>
        <v>Homo sapiens</v>
      </c>
      <c r="F7" t="str">
        <f>VLOOKUP(E7,species_dict!A:B,2,FALSE)</f>
        <v>human</v>
      </c>
    </row>
    <row r="8" spans="1:6" x14ac:dyDescent="0.2">
      <c r="A8" t="s">
        <v>29</v>
      </c>
      <c r="B8" t="s">
        <v>291</v>
      </c>
      <c r="C8">
        <v>500</v>
      </c>
      <c r="D8" t="s">
        <v>300</v>
      </c>
      <c r="E8" t="str">
        <f>VLOOKUP(A8,ha_antibody_complexes!A:H,8,FALSE)</f>
        <v>Homo sapiens</v>
      </c>
      <c r="F8" t="str">
        <f>VLOOKUP(E8,species_dict!A:B,2,FALSE)</f>
        <v>human</v>
      </c>
    </row>
    <row r="9" spans="1:6" x14ac:dyDescent="0.2">
      <c r="A9" t="s">
        <v>29</v>
      </c>
      <c r="B9" t="s">
        <v>293</v>
      </c>
      <c r="C9">
        <v>146</v>
      </c>
      <c r="D9" t="s">
        <v>301</v>
      </c>
      <c r="E9" t="str">
        <f>VLOOKUP(A9,ha_antibody_complexes!A:H,8,FALSE)</f>
        <v>Homo sapiens</v>
      </c>
      <c r="F9" t="str">
        <f>VLOOKUP(E9,species_dict!A:B,2,FALSE)</f>
        <v>human</v>
      </c>
    </row>
    <row r="10" spans="1:6" x14ac:dyDescent="0.2">
      <c r="A10" t="s">
        <v>29</v>
      </c>
      <c r="B10" t="s">
        <v>295</v>
      </c>
      <c r="C10">
        <v>157</v>
      </c>
      <c r="D10" t="s">
        <v>302</v>
      </c>
      <c r="E10" t="str">
        <f>VLOOKUP(A10,ha_antibody_complexes!A:H,8,FALSE)</f>
        <v>Homo sapiens</v>
      </c>
      <c r="F10" t="str">
        <f>VLOOKUP(E10,species_dict!A:B,2,FALSE)</f>
        <v>human</v>
      </c>
    </row>
    <row r="11" spans="1:6" x14ac:dyDescent="0.2">
      <c r="A11" t="s">
        <v>36</v>
      </c>
      <c r="B11" t="s">
        <v>303</v>
      </c>
      <c r="C11">
        <v>255</v>
      </c>
      <c r="D11" t="s">
        <v>304</v>
      </c>
      <c r="E11" t="str">
        <f>VLOOKUP(A11,ha_antibody_complexes!A:H,8,FALSE)</f>
        <v>Mus Musculus</v>
      </c>
      <c r="F11" t="str">
        <f>VLOOKUP(E11,species_dict!A:B,2,FALSE)</f>
        <v>mouse</v>
      </c>
    </row>
    <row r="12" spans="1:6" x14ac:dyDescent="0.2">
      <c r="A12" t="s">
        <v>36</v>
      </c>
      <c r="B12" t="s">
        <v>293</v>
      </c>
      <c r="C12">
        <v>203</v>
      </c>
      <c r="D12" t="s">
        <v>305</v>
      </c>
      <c r="E12" t="str">
        <f>VLOOKUP(A12,ha_antibody_complexes!A:H,8,FALSE)</f>
        <v>Mus Musculus</v>
      </c>
      <c r="F12" t="str">
        <f>VLOOKUP(E12,species_dict!A:B,2,FALSE)</f>
        <v>mouse</v>
      </c>
    </row>
    <row r="13" spans="1:6" x14ac:dyDescent="0.2">
      <c r="A13" t="s">
        <v>36</v>
      </c>
      <c r="B13" t="s">
        <v>306</v>
      </c>
      <c r="C13">
        <v>208</v>
      </c>
      <c r="D13" t="s">
        <v>307</v>
      </c>
      <c r="E13" t="str">
        <f>VLOOKUP(A13,ha_antibody_complexes!A:H,8,FALSE)</f>
        <v>Mus Musculus</v>
      </c>
      <c r="F13" t="str">
        <f>VLOOKUP(E13,species_dict!A:B,2,FALSE)</f>
        <v>mouse</v>
      </c>
    </row>
    <row r="14" spans="1:6" x14ac:dyDescent="0.2">
      <c r="A14" t="s">
        <v>43</v>
      </c>
      <c r="B14" t="s">
        <v>291</v>
      </c>
      <c r="C14">
        <v>488</v>
      </c>
      <c r="D14" t="s">
        <v>308</v>
      </c>
      <c r="E14" t="str">
        <f>VLOOKUP(A14,ha_antibody_complexes!A:H,8,FALSE)</f>
        <v>Homo sapiens</v>
      </c>
      <c r="F14" t="str">
        <f>VLOOKUP(E14,species_dict!A:B,2,FALSE)</f>
        <v>human</v>
      </c>
    </row>
    <row r="15" spans="1:6" x14ac:dyDescent="0.2">
      <c r="A15" t="s">
        <v>43</v>
      </c>
      <c r="B15" t="s">
        <v>309</v>
      </c>
      <c r="C15">
        <v>207</v>
      </c>
      <c r="D15" t="s">
        <v>310</v>
      </c>
      <c r="E15" t="str">
        <f>VLOOKUP(A15,ha_antibody_complexes!A:H,8,FALSE)</f>
        <v>Homo sapiens</v>
      </c>
      <c r="F15" t="str">
        <f>VLOOKUP(E15,species_dict!A:B,2,FALSE)</f>
        <v>human</v>
      </c>
    </row>
    <row r="16" spans="1:6" x14ac:dyDescent="0.2">
      <c r="A16" t="s">
        <v>43</v>
      </c>
      <c r="B16" t="s">
        <v>311</v>
      </c>
      <c r="C16">
        <v>214</v>
      </c>
      <c r="D16" t="s">
        <v>312</v>
      </c>
      <c r="E16" t="str">
        <f>VLOOKUP(A16,ha_antibody_complexes!A:H,8,FALSE)</f>
        <v>Homo sapiens</v>
      </c>
      <c r="F16" t="str">
        <f>VLOOKUP(E16,species_dict!A:B,2,FALSE)</f>
        <v>human</v>
      </c>
    </row>
    <row r="17" spans="1:6" x14ac:dyDescent="0.2">
      <c r="A17" t="s">
        <v>43</v>
      </c>
      <c r="B17" t="s">
        <v>291</v>
      </c>
      <c r="C17">
        <v>488</v>
      </c>
      <c r="D17" t="s">
        <v>308</v>
      </c>
      <c r="E17" t="str">
        <f>VLOOKUP(A17,ha_antibody_complexes!A:H,8,FALSE)</f>
        <v>Homo sapiens</v>
      </c>
      <c r="F17" t="str">
        <f>VLOOKUP(E17,species_dict!A:B,2,FALSE)</f>
        <v>human</v>
      </c>
    </row>
    <row r="18" spans="1:6" x14ac:dyDescent="0.2">
      <c r="A18" t="s">
        <v>43</v>
      </c>
      <c r="B18" t="s">
        <v>309</v>
      </c>
      <c r="C18">
        <v>207</v>
      </c>
      <c r="D18" t="s">
        <v>310</v>
      </c>
      <c r="E18" t="str">
        <f>VLOOKUP(A18,ha_antibody_complexes!A:H,8,FALSE)</f>
        <v>Homo sapiens</v>
      </c>
      <c r="F18" t="str">
        <f>VLOOKUP(E18,species_dict!A:B,2,FALSE)</f>
        <v>human</v>
      </c>
    </row>
    <row r="19" spans="1:6" x14ac:dyDescent="0.2">
      <c r="A19" t="s">
        <v>43</v>
      </c>
      <c r="B19" t="s">
        <v>311</v>
      </c>
      <c r="C19">
        <v>214</v>
      </c>
      <c r="D19" t="s">
        <v>312</v>
      </c>
      <c r="E19" t="str">
        <f>VLOOKUP(A19,ha_antibody_complexes!A:H,8,FALSE)</f>
        <v>Homo sapiens</v>
      </c>
      <c r="F19" t="str">
        <f>VLOOKUP(E19,species_dict!A:B,2,FALSE)</f>
        <v>human</v>
      </c>
    </row>
    <row r="20" spans="1:6" x14ac:dyDescent="0.2">
      <c r="A20" t="s">
        <v>50</v>
      </c>
      <c r="B20" t="s">
        <v>313</v>
      </c>
      <c r="C20">
        <v>212</v>
      </c>
      <c r="D20" t="s">
        <v>314</v>
      </c>
      <c r="E20" t="str">
        <f>VLOOKUP(A20,ha_antibody_complexes!A:H,8,FALSE)</f>
        <v>Homo sapiens</v>
      </c>
      <c r="F20" t="str">
        <f>VLOOKUP(E20,species_dict!A:B,2,FALSE)</f>
        <v>human</v>
      </c>
    </row>
    <row r="21" spans="1:6" x14ac:dyDescent="0.2">
      <c r="A21" t="s">
        <v>50</v>
      </c>
      <c r="B21" t="s">
        <v>315</v>
      </c>
      <c r="C21">
        <v>201</v>
      </c>
      <c r="D21" t="s">
        <v>316</v>
      </c>
      <c r="E21" t="str">
        <f>VLOOKUP(A21,ha_antibody_complexes!A:H,8,FALSE)</f>
        <v>Homo sapiens</v>
      </c>
      <c r="F21" t="str">
        <f>VLOOKUP(E21,species_dict!A:B,2,FALSE)</f>
        <v>human</v>
      </c>
    </row>
    <row r="22" spans="1:6" x14ac:dyDescent="0.2">
      <c r="A22" t="s">
        <v>50</v>
      </c>
      <c r="B22" t="s">
        <v>291</v>
      </c>
      <c r="C22">
        <v>226</v>
      </c>
      <c r="D22" t="s">
        <v>317</v>
      </c>
      <c r="E22" t="str">
        <f>VLOOKUP(A22,ha_antibody_complexes!A:H,8,FALSE)</f>
        <v>Homo sapiens</v>
      </c>
      <c r="F22" t="str">
        <f>VLOOKUP(E22,species_dict!A:B,2,FALSE)</f>
        <v>human</v>
      </c>
    </row>
    <row r="23" spans="1:6" x14ac:dyDescent="0.2">
      <c r="A23" t="s">
        <v>50</v>
      </c>
      <c r="B23" t="s">
        <v>313</v>
      </c>
      <c r="C23">
        <v>212</v>
      </c>
      <c r="D23" t="s">
        <v>314</v>
      </c>
      <c r="E23" t="str">
        <f>VLOOKUP(A23,ha_antibody_complexes!A:H,8,FALSE)</f>
        <v>Homo sapiens</v>
      </c>
      <c r="F23" t="str">
        <f>VLOOKUP(E23,species_dict!A:B,2,FALSE)</f>
        <v>human</v>
      </c>
    </row>
    <row r="24" spans="1:6" x14ac:dyDescent="0.2">
      <c r="A24" t="s">
        <v>50</v>
      </c>
      <c r="B24" t="s">
        <v>315</v>
      </c>
      <c r="C24">
        <v>201</v>
      </c>
      <c r="D24" t="s">
        <v>316</v>
      </c>
      <c r="E24" t="str">
        <f>VLOOKUP(A24,ha_antibody_complexes!A:H,8,FALSE)</f>
        <v>Homo sapiens</v>
      </c>
      <c r="F24" t="str">
        <f>VLOOKUP(E24,species_dict!A:B,2,FALSE)</f>
        <v>human</v>
      </c>
    </row>
    <row r="25" spans="1:6" x14ac:dyDescent="0.2">
      <c r="A25" t="s">
        <v>50</v>
      </c>
      <c r="B25" t="s">
        <v>291</v>
      </c>
      <c r="C25">
        <v>226</v>
      </c>
      <c r="D25" t="s">
        <v>317</v>
      </c>
      <c r="E25" t="str">
        <f>VLOOKUP(A25,ha_antibody_complexes!A:H,8,FALSE)</f>
        <v>Homo sapiens</v>
      </c>
      <c r="F25" t="str">
        <f>VLOOKUP(E25,species_dict!A:B,2,FALSE)</f>
        <v>human</v>
      </c>
    </row>
    <row r="26" spans="1:6" x14ac:dyDescent="0.2">
      <c r="A26" t="s">
        <v>50</v>
      </c>
      <c r="B26" t="s">
        <v>313</v>
      </c>
      <c r="C26">
        <v>212</v>
      </c>
      <c r="D26" t="s">
        <v>318</v>
      </c>
      <c r="E26" t="str">
        <f>VLOOKUP(A26,ha_antibody_complexes!A:H,8,FALSE)</f>
        <v>Homo sapiens</v>
      </c>
      <c r="F26" t="str">
        <f>VLOOKUP(E26,species_dict!A:B,2,FALSE)</f>
        <v>human</v>
      </c>
    </row>
    <row r="27" spans="1:6" x14ac:dyDescent="0.2">
      <c r="A27" t="s">
        <v>50</v>
      </c>
      <c r="B27" t="s">
        <v>315</v>
      </c>
      <c r="C27">
        <v>201</v>
      </c>
      <c r="D27" t="s">
        <v>316</v>
      </c>
      <c r="E27" t="str">
        <f>VLOOKUP(A27,ha_antibody_complexes!A:H,8,FALSE)</f>
        <v>Homo sapiens</v>
      </c>
      <c r="F27" t="str">
        <f>VLOOKUP(E27,species_dict!A:B,2,FALSE)</f>
        <v>human</v>
      </c>
    </row>
    <row r="28" spans="1:6" x14ac:dyDescent="0.2">
      <c r="A28" t="s">
        <v>50</v>
      </c>
      <c r="B28" t="s">
        <v>291</v>
      </c>
      <c r="C28">
        <v>226</v>
      </c>
      <c r="D28" t="s">
        <v>317</v>
      </c>
      <c r="E28" t="str">
        <f>VLOOKUP(A28,ha_antibody_complexes!A:H,8,FALSE)</f>
        <v>Homo sapiens</v>
      </c>
      <c r="F28" t="str">
        <f>VLOOKUP(E28,species_dict!A:B,2,FALSE)</f>
        <v>human</v>
      </c>
    </row>
    <row r="29" spans="1:6" x14ac:dyDescent="0.2">
      <c r="A29" t="s">
        <v>50</v>
      </c>
      <c r="B29" t="s">
        <v>313</v>
      </c>
      <c r="C29">
        <v>212</v>
      </c>
      <c r="D29" t="s">
        <v>319</v>
      </c>
      <c r="E29" t="str">
        <f>VLOOKUP(A29,ha_antibody_complexes!A:H,8,FALSE)</f>
        <v>Homo sapiens</v>
      </c>
      <c r="F29" t="str">
        <f>VLOOKUP(E29,species_dict!A:B,2,FALSE)</f>
        <v>human</v>
      </c>
    </row>
    <row r="30" spans="1:6" x14ac:dyDescent="0.2">
      <c r="A30" t="s">
        <v>50</v>
      </c>
      <c r="B30" t="s">
        <v>315</v>
      </c>
      <c r="C30">
        <v>201</v>
      </c>
      <c r="D30" t="s">
        <v>316</v>
      </c>
      <c r="E30" t="str">
        <f>VLOOKUP(A30,ha_antibody_complexes!A:H,8,FALSE)</f>
        <v>Homo sapiens</v>
      </c>
      <c r="F30" t="str">
        <f>VLOOKUP(E30,species_dict!A:B,2,FALSE)</f>
        <v>human</v>
      </c>
    </row>
    <row r="31" spans="1:6" x14ac:dyDescent="0.2">
      <c r="A31" t="s">
        <v>50</v>
      </c>
      <c r="B31" t="s">
        <v>291</v>
      </c>
      <c r="C31">
        <v>226</v>
      </c>
      <c r="D31" t="s">
        <v>317</v>
      </c>
      <c r="E31" t="str">
        <f>VLOOKUP(A31,ha_antibody_complexes!A:H,8,FALSE)</f>
        <v>Homo sapiens</v>
      </c>
      <c r="F31" t="str">
        <f>VLOOKUP(E31,species_dict!A:B,2,FALSE)</f>
        <v>human</v>
      </c>
    </row>
    <row r="32" spans="1:6" x14ac:dyDescent="0.2">
      <c r="A32" t="s">
        <v>50</v>
      </c>
      <c r="B32" t="s">
        <v>313</v>
      </c>
      <c r="C32">
        <v>212</v>
      </c>
      <c r="D32" t="s">
        <v>314</v>
      </c>
      <c r="E32" t="str">
        <f>VLOOKUP(A32,ha_antibody_complexes!A:H,8,FALSE)</f>
        <v>Homo sapiens</v>
      </c>
      <c r="F32" t="str">
        <f>VLOOKUP(E32,species_dict!A:B,2,FALSE)</f>
        <v>human</v>
      </c>
    </row>
    <row r="33" spans="1:6" x14ac:dyDescent="0.2">
      <c r="A33" t="s">
        <v>50</v>
      </c>
      <c r="B33" t="s">
        <v>315</v>
      </c>
      <c r="C33">
        <v>201</v>
      </c>
      <c r="D33" t="s">
        <v>316</v>
      </c>
      <c r="E33" t="str">
        <f>VLOOKUP(A33,ha_antibody_complexes!A:H,8,FALSE)</f>
        <v>Homo sapiens</v>
      </c>
      <c r="F33" t="str">
        <f>VLOOKUP(E33,species_dict!A:B,2,FALSE)</f>
        <v>human</v>
      </c>
    </row>
    <row r="34" spans="1:6" x14ac:dyDescent="0.2">
      <c r="A34" t="s">
        <v>50</v>
      </c>
      <c r="B34" t="s">
        <v>291</v>
      </c>
      <c r="C34">
        <v>226</v>
      </c>
      <c r="D34" t="s">
        <v>317</v>
      </c>
      <c r="E34" t="str">
        <f>VLOOKUP(A34,ha_antibody_complexes!A:H,8,FALSE)</f>
        <v>Homo sapiens</v>
      </c>
      <c r="F34" t="str">
        <f>VLOOKUP(E34,species_dict!A:B,2,FALSE)</f>
        <v>human</v>
      </c>
    </row>
    <row r="35" spans="1:6" x14ac:dyDescent="0.2">
      <c r="A35" t="s">
        <v>50</v>
      </c>
      <c r="B35" t="s">
        <v>313</v>
      </c>
      <c r="C35">
        <v>212</v>
      </c>
      <c r="D35" t="s">
        <v>320</v>
      </c>
      <c r="E35" t="str">
        <f>VLOOKUP(A35,ha_antibody_complexes!A:H,8,FALSE)</f>
        <v>Homo sapiens</v>
      </c>
      <c r="F35" t="str">
        <f>VLOOKUP(E35,species_dict!A:B,2,FALSE)</f>
        <v>human</v>
      </c>
    </row>
    <row r="36" spans="1:6" x14ac:dyDescent="0.2">
      <c r="A36" t="s">
        <v>50</v>
      </c>
      <c r="B36" t="s">
        <v>315</v>
      </c>
      <c r="C36">
        <v>201</v>
      </c>
      <c r="D36" t="s">
        <v>316</v>
      </c>
      <c r="E36" t="str">
        <f>VLOOKUP(A36,ha_antibody_complexes!A:H,8,FALSE)</f>
        <v>Homo sapiens</v>
      </c>
      <c r="F36" t="str">
        <f>VLOOKUP(E36,species_dict!A:B,2,FALSE)</f>
        <v>human</v>
      </c>
    </row>
    <row r="37" spans="1:6" x14ac:dyDescent="0.2">
      <c r="A37" t="s">
        <v>50</v>
      </c>
      <c r="B37" t="s">
        <v>291</v>
      </c>
      <c r="C37">
        <v>226</v>
      </c>
      <c r="D37" t="s">
        <v>317</v>
      </c>
      <c r="E37" t="str">
        <f>VLOOKUP(A37,ha_antibody_complexes!A:H,8,FALSE)</f>
        <v>Homo sapiens</v>
      </c>
      <c r="F37" t="str">
        <f>VLOOKUP(E37,species_dict!A:B,2,FALSE)</f>
        <v>human</v>
      </c>
    </row>
    <row r="38" spans="1:6" x14ac:dyDescent="0.2">
      <c r="A38" t="s">
        <v>50</v>
      </c>
      <c r="B38" t="s">
        <v>313</v>
      </c>
      <c r="C38">
        <v>212</v>
      </c>
      <c r="D38" t="s">
        <v>321</v>
      </c>
      <c r="E38" t="str">
        <f>VLOOKUP(A38,ha_antibody_complexes!A:H,8,FALSE)</f>
        <v>Homo sapiens</v>
      </c>
      <c r="F38" t="str">
        <f>VLOOKUP(E38,species_dict!A:B,2,FALSE)</f>
        <v>human</v>
      </c>
    </row>
    <row r="39" spans="1:6" x14ac:dyDescent="0.2">
      <c r="A39" t="s">
        <v>50</v>
      </c>
      <c r="B39" t="s">
        <v>315</v>
      </c>
      <c r="C39">
        <v>201</v>
      </c>
      <c r="D39" t="s">
        <v>316</v>
      </c>
      <c r="E39" t="str">
        <f>VLOOKUP(A39,ha_antibody_complexes!A:H,8,FALSE)</f>
        <v>Homo sapiens</v>
      </c>
      <c r="F39" t="str">
        <f>VLOOKUP(E39,species_dict!A:B,2,FALSE)</f>
        <v>human</v>
      </c>
    </row>
    <row r="40" spans="1:6" x14ac:dyDescent="0.2">
      <c r="A40" t="s">
        <v>50</v>
      </c>
      <c r="B40" t="s">
        <v>291</v>
      </c>
      <c r="C40">
        <v>226</v>
      </c>
      <c r="D40" t="s">
        <v>317</v>
      </c>
      <c r="E40" t="str">
        <f>VLOOKUP(A40,ha_antibody_complexes!A:H,8,FALSE)</f>
        <v>Homo sapiens</v>
      </c>
      <c r="F40" t="str">
        <f>VLOOKUP(E40,species_dict!A:B,2,FALSE)</f>
        <v>human</v>
      </c>
    </row>
    <row r="41" spans="1:6" x14ac:dyDescent="0.2">
      <c r="A41" t="s">
        <v>57</v>
      </c>
      <c r="B41" t="s">
        <v>303</v>
      </c>
      <c r="C41">
        <v>222</v>
      </c>
      <c r="D41" t="s">
        <v>322</v>
      </c>
      <c r="E41" t="str">
        <f>VLOOKUP(A41,ha_antibody_complexes!A:H,8,FALSE)</f>
        <v>Mus Musculus</v>
      </c>
      <c r="F41" t="str">
        <f>VLOOKUP(E41,species_dict!A:B,2,FALSE)</f>
        <v>mouse</v>
      </c>
    </row>
    <row r="42" spans="1:6" x14ac:dyDescent="0.2">
      <c r="A42" t="s">
        <v>57</v>
      </c>
      <c r="B42" t="s">
        <v>293</v>
      </c>
      <c r="C42">
        <v>209</v>
      </c>
      <c r="D42" t="s">
        <v>323</v>
      </c>
      <c r="E42" t="str">
        <f>VLOOKUP(A42,ha_antibody_complexes!A:H,8,FALSE)</f>
        <v>Mus Musculus</v>
      </c>
      <c r="F42" t="str">
        <f>VLOOKUP(E42,species_dict!A:B,2,FALSE)</f>
        <v>mouse</v>
      </c>
    </row>
    <row r="43" spans="1:6" x14ac:dyDescent="0.2">
      <c r="A43" t="s">
        <v>57</v>
      </c>
      <c r="B43" t="s">
        <v>306</v>
      </c>
      <c r="C43">
        <v>218</v>
      </c>
      <c r="D43" t="s">
        <v>324</v>
      </c>
      <c r="E43" t="str">
        <f>VLOOKUP(A43,ha_antibody_complexes!A:H,8,FALSE)</f>
        <v>Mus Musculus</v>
      </c>
      <c r="F43" t="str">
        <f>VLOOKUP(E43,species_dict!A:B,2,FALSE)</f>
        <v>mouse</v>
      </c>
    </row>
    <row r="44" spans="1:6" x14ac:dyDescent="0.2">
      <c r="A44" t="s">
        <v>63</v>
      </c>
      <c r="B44" t="s">
        <v>291</v>
      </c>
      <c r="C44">
        <v>204</v>
      </c>
      <c r="D44" t="s">
        <v>325</v>
      </c>
      <c r="E44" t="str">
        <f>VLOOKUP(A44,ha_antibody_complexes!A:H,8,FALSE)</f>
        <v>Homo sapiens</v>
      </c>
      <c r="F44" t="str">
        <f>VLOOKUP(E44,species_dict!A:B,2,FALSE)</f>
        <v>human</v>
      </c>
    </row>
    <row r="45" spans="1:6" x14ac:dyDescent="0.2">
      <c r="A45" t="s">
        <v>63</v>
      </c>
      <c r="B45" t="s">
        <v>293</v>
      </c>
      <c r="C45">
        <v>209</v>
      </c>
      <c r="D45" t="s">
        <v>326</v>
      </c>
      <c r="E45" t="str">
        <f>VLOOKUP(A45,ha_antibody_complexes!A:H,8,FALSE)</f>
        <v>Homo sapiens</v>
      </c>
      <c r="F45" t="str">
        <f>VLOOKUP(E45,species_dict!A:B,2,FALSE)</f>
        <v>human</v>
      </c>
    </row>
    <row r="46" spans="1:6" x14ac:dyDescent="0.2">
      <c r="A46" t="s">
        <v>63</v>
      </c>
      <c r="B46" t="s">
        <v>295</v>
      </c>
      <c r="C46">
        <v>209</v>
      </c>
      <c r="D46" t="s">
        <v>327</v>
      </c>
      <c r="E46" t="str">
        <f>VLOOKUP(A46,ha_antibody_complexes!A:H,8,FALSE)</f>
        <v>Homo sapiens</v>
      </c>
      <c r="F46" t="str">
        <f>VLOOKUP(E46,species_dict!A:B,2,FALSE)</f>
        <v>human</v>
      </c>
    </row>
    <row r="47" spans="1:6" x14ac:dyDescent="0.2">
      <c r="A47" t="s">
        <v>70</v>
      </c>
      <c r="B47" t="s">
        <v>291</v>
      </c>
      <c r="C47">
        <v>499</v>
      </c>
      <c r="D47" t="s">
        <v>328</v>
      </c>
      <c r="E47" t="str">
        <f>VLOOKUP(A47,ha_antibody_complexes!A:H,8,FALSE)</f>
        <v>Homo sapiens</v>
      </c>
      <c r="F47" t="str">
        <f>VLOOKUP(E47,species_dict!A:B,2,FALSE)</f>
        <v>human</v>
      </c>
    </row>
    <row r="48" spans="1:6" x14ac:dyDescent="0.2">
      <c r="A48" t="s">
        <v>70</v>
      </c>
      <c r="B48" t="s">
        <v>303</v>
      </c>
      <c r="C48">
        <v>212</v>
      </c>
      <c r="D48" t="s">
        <v>329</v>
      </c>
      <c r="E48" t="str">
        <f>VLOOKUP(A48,ha_antibody_complexes!A:H,8,FALSE)</f>
        <v>Homo sapiens</v>
      </c>
      <c r="F48" t="str">
        <f>VLOOKUP(E48,species_dict!A:B,2,FALSE)</f>
        <v>human</v>
      </c>
    </row>
    <row r="49" spans="1:6" x14ac:dyDescent="0.2">
      <c r="A49" t="s">
        <v>70</v>
      </c>
      <c r="B49" t="s">
        <v>330</v>
      </c>
      <c r="C49">
        <v>219</v>
      </c>
      <c r="D49" t="s">
        <v>331</v>
      </c>
      <c r="E49" t="str">
        <f>VLOOKUP(A49,ha_antibody_complexes!A:H,8,FALSE)</f>
        <v>Homo sapiens</v>
      </c>
      <c r="F49" t="str">
        <f>VLOOKUP(E49,species_dict!A:B,2,FALSE)</f>
        <v>human</v>
      </c>
    </row>
    <row r="50" spans="1:6" x14ac:dyDescent="0.2">
      <c r="A50" t="s">
        <v>76</v>
      </c>
      <c r="B50" t="s">
        <v>313</v>
      </c>
      <c r="C50">
        <v>212</v>
      </c>
      <c r="D50" t="s">
        <v>314</v>
      </c>
      <c r="E50" t="str">
        <f>VLOOKUP(A50,ha_antibody_complexes!A:H,8,FALSE)</f>
        <v>Homo sapiens</v>
      </c>
      <c r="F50" t="str">
        <f>VLOOKUP(E50,species_dict!A:B,2,FALSE)</f>
        <v>human</v>
      </c>
    </row>
    <row r="51" spans="1:6" x14ac:dyDescent="0.2">
      <c r="A51" t="s">
        <v>76</v>
      </c>
      <c r="B51" t="s">
        <v>293</v>
      </c>
      <c r="C51">
        <v>234</v>
      </c>
      <c r="D51" t="s">
        <v>332</v>
      </c>
      <c r="E51" t="str">
        <f>VLOOKUP(A51,ha_antibody_complexes!A:H,8,FALSE)</f>
        <v>Homo sapiens</v>
      </c>
      <c r="F51" t="str">
        <f>VLOOKUP(E51,species_dict!A:B,2,FALSE)</f>
        <v>human</v>
      </c>
    </row>
    <row r="52" spans="1:6" x14ac:dyDescent="0.2">
      <c r="A52" t="s">
        <v>83</v>
      </c>
      <c r="B52" t="s">
        <v>291</v>
      </c>
      <c r="C52">
        <v>206</v>
      </c>
      <c r="D52" t="s">
        <v>333</v>
      </c>
      <c r="E52" t="str">
        <f>VLOOKUP(A52,ha_antibody_complexes!A:H,8,FALSE)</f>
        <v>Homo sapiens</v>
      </c>
      <c r="F52" t="str">
        <f>VLOOKUP(E52,species_dict!A:B,2,FALSE)</f>
        <v>human</v>
      </c>
    </row>
    <row r="53" spans="1:6" x14ac:dyDescent="0.2">
      <c r="A53" t="s">
        <v>83</v>
      </c>
      <c r="B53" t="s">
        <v>315</v>
      </c>
      <c r="C53">
        <v>211</v>
      </c>
      <c r="D53" t="s">
        <v>334</v>
      </c>
      <c r="E53" t="str">
        <f>VLOOKUP(A53,ha_antibody_complexes!A:H,8,FALSE)</f>
        <v>Homo sapiens</v>
      </c>
      <c r="F53" t="str">
        <f>VLOOKUP(E53,species_dict!A:B,2,FALSE)</f>
        <v>human</v>
      </c>
    </row>
    <row r="54" spans="1:6" x14ac:dyDescent="0.2">
      <c r="A54" t="s">
        <v>83</v>
      </c>
      <c r="B54" t="s">
        <v>335</v>
      </c>
      <c r="C54">
        <v>220</v>
      </c>
      <c r="D54" t="s">
        <v>336</v>
      </c>
      <c r="E54" t="str">
        <f>VLOOKUP(A54,ha_antibody_complexes!A:H,8,FALSE)</f>
        <v>Homo sapiens</v>
      </c>
      <c r="F54" t="str">
        <f>VLOOKUP(E54,species_dict!A:B,2,FALSE)</f>
        <v>human</v>
      </c>
    </row>
    <row r="55" spans="1:6" x14ac:dyDescent="0.2">
      <c r="A55" t="s">
        <v>89</v>
      </c>
      <c r="B55" t="s">
        <v>291</v>
      </c>
      <c r="C55">
        <v>487</v>
      </c>
      <c r="D55" t="s">
        <v>337</v>
      </c>
      <c r="E55" t="str">
        <f>VLOOKUP(A55,ha_antibody_complexes!A:H,8,FALSE)</f>
        <v>Homo sapiens</v>
      </c>
      <c r="F55" t="str">
        <f>VLOOKUP(E55,species_dict!A:B,2,FALSE)</f>
        <v>human</v>
      </c>
    </row>
    <row r="56" spans="1:6" x14ac:dyDescent="0.2">
      <c r="A56" t="s">
        <v>89</v>
      </c>
      <c r="B56" t="s">
        <v>293</v>
      </c>
      <c r="C56">
        <v>207</v>
      </c>
      <c r="D56" t="s">
        <v>338</v>
      </c>
      <c r="E56" t="str">
        <f>VLOOKUP(A56,ha_antibody_complexes!A:H,8,FALSE)</f>
        <v>Homo sapiens</v>
      </c>
      <c r="F56" t="str">
        <f>VLOOKUP(E56,species_dict!A:B,2,FALSE)</f>
        <v>human</v>
      </c>
    </row>
    <row r="57" spans="1:6" x14ac:dyDescent="0.2">
      <c r="A57" t="s">
        <v>89</v>
      </c>
      <c r="B57" t="s">
        <v>295</v>
      </c>
      <c r="C57">
        <v>211</v>
      </c>
      <c r="D57" t="s">
        <v>339</v>
      </c>
      <c r="E57" t="str">
        <f>VLOOKUP(A57,ha_antibody_complexes!A:H,8,FALSE)</f>
        <v>Homo sapiens</v>
      </c>
      <c r="F57" t="str">
        <f>VLOOKUP(E57,species_dict!A:B,2,FALSE)</f>
        <v>human</v>
      </c>
    </row>
    <row r="58" spans="1:6" x14ac:dyDescent="0.2">
      <c r="A58" t="s">
        <v>94</v>
      </c>
      <c r="B58" t="s">
        <v>330</v>
      </c>
      <c r="C58">
        <v>458</v>
      </c>
      <c r="D58" t="s">
        <v>340</v>
      </c>
      <c r="E58" t="str">
        <f>VLOOKUP(A58,ha_antibody_complexes!A:H,8,FALSE)</f>
        <v>Homo sapiens</v>
      </c>
      <c r="F58" t="str">
        <f>VLOOKUP(E58,species_dict!A:B,2,FALSE)</f>
        <v>human</v>
      </c>
    </row>
    <row r="59" spans="1:6" x14ac:dyDescent="0.2">
      <c r="A59" t="s">
        <v>94</v>
      </c>
      <c r="B59" t="s">
        <v>293</v>
      </c>
      <c r="C59">
        <v>217</v>
      </c>
      <c r="D59" t="s">
        <v>341</v>
      </c>
      <c r="E59" t="str">
        <f>VLOOKUP(A59,ha_antibody_complexes!A:H,8,FALSE)</f>
        <v>Homo sapiens</v>
      </c>
      <c r="F59" t="str">
        <f>VLOOKUP(E59,species_dict!A:B,2,FALSE)</f>
        <v>human</v>
      </c>
    </row>
    <row r="60" spans="1:6" x14ac:dyDescent="0.2">
      <c r="A60" t="s">
        <v>94</v>
      </c>
      <c r="B60" t="s">
        <v>295</v>
      </c>
      <c r="C60">
        <v>221</v>
      </c>
      <c r="D60" t="s">
        <v>342</v>
      </c>
      <c r="E60" t="str">
        <f>VLOOKUP(A60,ha_antibody_complexes!A:H,8,FALSE)</f>
        <v>Homo sapiens</v>
      </c>
      <c r="F60" t="str">
        <f>VLOOKUP(E60,species_dict!A:B,2,FALSE)</f>
        <v>human</v>
      </c>
    </row>
    <row r="61" spans="1:6" x14ac:dyDescent="0.2">
      <c r="A61" t="s">
        <v>101</v>
      </c>
      <c r="B61" t="s">
        <v>291</v>
      </c>
      <c r="C61">
        <v>496</v>
      </c>
      <c r="D61" t="s">
        <v>343</v>
      </c>
      <c r="E61" t="str">
        <f>VLOOKUP(A61,ha_antibody_complexes!A:H,8,FALSE)</f>
        <v>Homo sapiens</v>
      </c>
      <c r="F61" t="str">
        <f>VLOOKUP(E61,species_dict!A:B,2,FALSE)</f>
        <v>human</v>
      </c>
    </row>
    <row r="62" spans="1:6" x14ac:dyDescent="0.2">
      <c r="A62" t="s">
        <v>101</v>
      </c>
      <c r="B62" t="s">
        <v>335</v>
      </c>
      <c r="C62">
        <v>212</v>
      </c>
      <c r="D62" t="s">
        <v>344</v>
      </c>
      <c r="E62" t="str">
        <f>VLOOKUP(A62,ha_antibody_complexes!A:H,8,FALSE)</f>
        <v>Homo sapiens</v>
      </c>
      <c r="F62" t="str">
        <f>VLOOKUP(E62,species_dict!A:B,2,FALSE)</f>
        <v>human</v>
      </c>
    </row>
    <row r="63" spans="1:6" x14ac:dyDescent="0.2">
      <c r="A63" t="s">
        <v>101</v>
      </c>
      <c r="B63" t="s">
        <v>345</v>
      </c>
      <c r="C63">
        <v>227</v>
      </c>
      <c r="D63" t="s">
        <v>346</v>
      </c>
      <c r="E63" t="str">
        <f>VLOOKUP(A63,ha_antibody_complexes!A:H,8,FALSE)</f>
        <v>Homo sapiens</v>
      </c>
      <c r="F63" t="str">
        <f>VLOOKUP(E63,species_dict!A:B,2,FALSE)</f>
        <v>human</v>
      </c>
    </row>
    <row r="64" spans="1:6" x14ac:dyDescent="0.2">
      <c r="A64" t="s">
        <v>108</v>
      </c>
      <c r="B64" t="s">
        <v>335</v>
      </c>
      <c r="C64">
        <v>323</v>
      </c>
      <c r="D64" t="s">
        <v>347</v>
      </c>
      <c r="E64" t="str">
        <f>VLOOKUP(A64,ha_antibody_complexes!A:H,8,FALSE)</f>
        <v>Homo sapiens</v>
      </c>
      <c r="F64" t="str">
        <f>VLOOKUP(E64,species_dict!A:B,2,FALSE)</f>
        <v>human</v>
      </c>
    </row>
    <row r="65" spans="1:6" x14ac:dyDescent="0.2">
      <c r="A65" t="s">
        <v>108</v>
      </c>
      <c r="B65" t="s">
        <v>311</v>
      </c>
      <c r="C65">
        <v>210</v>
      </c>
      <c r="D65" t="s">
        <v>348</v>
      </c>
      <c r="E65" t="str">
        <f>VLOOKUP(A65,ha_antibody_complexes!A:H,8,FALSE)</f>
        <v>Homo sapiens</v>
      </c>
      <c r="F65" t="str">
        <f>VLOOKUP(E65,species_dict!A:B,2,FALSE)</f>
        <v>human</v>
      </c>
    </row>
    <row r="66" spans="1:6" x14ac:dyDescent="0.2">
      <c r="A66" t="s">
        <v>108</v>
      </c>
      <c r="B66" t="s">
        <v>330</v>
      </c>
      <c r="C66">
        <v>221</v>
      </c>
      <c r="D66" t="s">
        <v>349</v>
      </c>
      <c r="E66" t="str">
        <f>VLOOKUP(A66,ha_antibody_complexes!A:H,8,FALSE)</f>
        <v>Homo sapiens</v>
      </c>
      <c r="F66" t="str">
        <f>VLOOKUP(E66,species_dict!A:B,2,FALSE)</f>
        <v>human</v>
      </c>
    </row>
    <row r="67" spans="1:6" x14ac:dyDescent="0.2">
      <c r="A67" t="s">
        <v>113</v>
      </c>
      <c r="B67" t="s">
        <v>313</v>
      </c>
      <c r="C67">
        <v>496</v>
      </c>
      <c r="D67" t="s">
        <v>350</v>
      </c>
      <c r="E67" t="str">
        <f>VLOOKUP(A67,ha_antibody_complexes!A:H,8,FALSE)</f>
        <v>Homo sapiens</v>
      </c>
      <c r="F67" t="str">
        <f>VLOOKUP(E67,species_dict!A:B,2,FALSE)</f>
        <v>human</v>
      </c>
    </row>
    <row r="68" spans="1:6" x14ac:dyDescent="0.2">
      <c r="A68" t="s">
        <v>113</v>
      </c>
      <c r="B68" t="s">
        <v>330</v>
      </c>
      <c r="C68">
        <v>236</v>
      </c>
      <c r="D68" t="s">
        <v>351</v>
      </c>
      <c r="E68" t="str">
        <f>VLOOKUP(A68,ha_antibody_complexes!A:H,8,FALSE)</f>
        <v>Homo sapiens</v>
      </c>
      <c r="F68" t="str">
        <f>VLOOKUP(E68,species_dict!A:B,2,FALSE)</f>
        <v>human</v>
      </c>
    </row>
    <row r="69" spans="1:6" x14ac:dyDescent="0.2">
      <c r="A69" t="s">
        <v>119</v>
      </c>
      <c r="B69" t="s">
        <v>291</v>
      </c>
      <c r="C69">
        <v>494</v>
      </c>
      <c r="D69" t="s">
        <v>352</v>
      </c>
      <c r="E69" t="str">
        <f>VLOOKUP(A69,ha_antibody_complexes!A:H,8,FALSE)</f>
        <v>Homo sapiens</v>
      </c>
      <c r="F69" t="str">
        <f>VLOOKUP(E69,species_dict!A:B,2,FALSE)</f>
        <v>human</v>
      </c>
    </row>
    <row r="70" spans="1:6" x14ac:dyDescent="0.2">
      <c r="A70" t="s">
        <v>119</v>
      </c>
      <c r="B70" t="s">
        <v>293</v>
      </c>
      <c r="C70">
        <v>214</v>
      </c>
      <c r="D70" t="s">
        <v>353</v>
      </c>
      <c r="E70" t="str">
        <f>VLOOKUP(A70,ha_antibody_complexes!A:H,8,FALSE)</f>
        <v>Homo sapiens</v>
      </c>
      <c r="F70" t="str">
        <f>VLOOKUP(E70,species_dict!A:B,2,FALSE)</f>
        <v>human</v>
      </c>
    </row>
    <row r="71" spans="1:6" x14ac:dyDescent="0.2">
      <c r="A71" t="s">
        <v>119</v>
      </c>
      <c r="B71" t="s">
        <v>295</v>
      </c>
      <c r="C71">
        <v>225</v>
      </c>
      <c r="D71" t="s">
        <v>354</v>
      </c>
      <c r="E71" t="str">
        <f>VLOOKUP(A71,ha_antibody_complexes!A:H,8,FALSE)</f>
        <v>Homo sapiens</v>
      </c>
      <c r="F71" t="str">
        <f>VLOOKUP(E71,species_dict!A:B,2,FALSE)</f>
        <v>human</v>
      </c>
    </row>
    <row r="72" spans="1:6" x14ac:dyDescent="0.2">
      <c r="A72" t="s">
        <v>124</v>
      </c>
      <c r="B72" t="s">
        <v>313</v>
      </c>
      <c r="C72">
        <v>283</v>
      </c>
      <c r="D72" t="s">
        <v>355</v>
      </c>
      <c r="E72" t="str">
        <f>VLOOKUP(A72,ha_antibody_complexes!A:H,8,FALSE)</f>
        <v>Homo sapiens</v>
      </c>
      <c r="F72" t="str">
        <f>VLOOKUP(E72,species_dict!A:B,2,FALSE)</f>
        <v>human</v>
      </c>
    </row>
    <row r="73" spans="1:6" x14ac:dyDescent="0.2">
      <c r="A73" t="s">
        <v>124</v>
      </c>
      <c r="B73" t="s">
        <v>293</v>
      </c>
      <c r="C73">
        <v>214</v>
      </c>
      <c r="D73" t="s">
        <v>356</v>
      </c>
      <c r="E73" t="str">
        <f>VLOOKUP(A73,ha_antibody_complexes!A:H,8,FALSE)</f>
        <v>Homo sapiens</v>
      </c>
      <c r="F73" t="str">
        <f>VLOOKUP(E73,species_dict!A:B,2,FALSE)</f>
        <v>human</v>
      </c>
    </row>
    <row r="74" spans="1:6" x14ac:dyDescent="0.2">
      <c r="A74" t="s">
        <v>124</v>
      </c>
      <c r="B74" t="s">
        <v>295</v>
      </c>
      <c r="C74">
        <v>223</v>
      </c>
      <c r="D74" t="s">
        <v>357</v>
      </c>
      <c r="E74" t="str">
        <f>VLOOKUP(A74,ha_antibody_complexes!A:H,8,FALSE)</f>
        <v>Homo sapiens</v>
      </c>
      <c r="F74" t="str">
        <f>VLOOKUP(E74,species_dict!A:B,2,FALSE)</f>
        <v>human</v>
      </c>
    </row>
    <row r="75" spans="1:6" x14ac:dyDescent="0.2">
      <c r="A75" t="s">
        <v>130</v>
      </c>
      <c r="B75" t="s">
        <v>315</v>
      </c>
      <c r="C75">
        <v>221</v>
      </c>
      <c r="D75" t="s">
        <v>358</v>
      </c>
      <c r="E75" t="str">
        <f>VLOOKUP(A75,ha_antibody_complexes!A:H,8,FALSE)</f>
        <v>Homo sapiens</v>
      </c>
      <c r="F75" t="str">
        <f>VLOOKUP(E75,species_dict!A:B,2,FALSE)</f>
        <v>human</v>
      </c>
    </row>
    <row r="76" spans="1:6" x14ac:dyDescent="0.2">
      <c r="A76" t="s">
        <v>130</v>
      </c>
      <c r="B76" t="s">
        <v>311</v>
      </c>
      <c r="C76">
        <v>216</v>
      </c>
      <c r="D76" t="s">
        <v>359</v>
      </c>
      <c r="E76" t="str">
        <f>VLOOKUP(A76,ha_antibody_complexes!A:H,8,FALSE)</f>
        <v>Homo sapiens</v>
      </c>
      <c r="F76" t="str">
        <f>VLOOKUP(E76,species_dict!A:B,2,FALSE)</f>
        <v>human</v>
      </c>
    </row>
    <row r="77" spans="1:6" x14ac:dyDescent="0.2">
      <c r="A77" t="s">
        <v>130</v>
      </c>
      <c r="B77" t="s">
        <v>330</v>
      </c>
      <c r="C77">
        <v>230</v>
      </c>
      <c r="D77" t="s">
        <v>360</v>
      </c>
      <c r="E77" t="str">
        <f>VLOOKUP(A77,ha_antibody_complexes!A:H,8,FALSE)</f>
        <v>Homo sapiens</v>
      </c>
      <c r="F77" t="str">
        <f>VLOOKUP(E77,species_dict!A:B,2,FALSE)</f>
        <v>human</v>
      </c>
    </row>
    <row r="78" spans="1:6" x14ac:dyDescent="0.2">
      <c r="A78" t="s">
        <v>137</v>
      </c>
      <c r="B78" t="s">
        <v>291</v>
      </c>
      <c r="C78">
        <v>488</v>
      </c>
      <c r="D78" t="s">
        <v>361</v>
      </c>
      <c r="E78" t="str">
        <f>VLOOKUP(A78,ha_antibody_complexes!A:H,8,FALSE)</f>
        <v>Lama Glama</v>
      </c>
      <c r="F78" t="str">
        <f>VLOOKUP(E78,species_dict!A:B,2,FALSE)</f>
        <v>alpaca</v>
      </c>
    </row>
    <row r="79" spans="1:6" x14ac:dyDescent="0.2">
      <c r="A79" t="s">
        <v>137</v>
      </c>
      <c r="B79" t="s">
        <v>330</v>
      </c>
      <c r="C79">
        <v>113</v>
      </c>
      <c r="D79" t="s">
        <v>362</v>
      </c>
      <c r="E79" t="str">
        <f>VLOOKUP(A79,ha_antibody_complexes!A:H,8,FALSE)</f>
        <v>Lama Glama</v>
      </c>
      <c r="F79" t="str">
        <f>VLOOKUP(E79,species_dict!A:B,2,FALSE)</f>
        <v>alpaca</v>
      </c>
    </row>
    <row r="80" spans="1:6" x14ac:dyDescent="0.2">
      <c r="A80" t="s">
        <v>144</v>
      </c>
      <c r="B80" t="s">
        <v>291</v>
      </c>
      <c r="C80">
        <v>478</v>
      </c>
      <c r="D80" t="s">
        <v>363</v>
      </c>
      <c r="E80" t="str">
        <f>VLOOKUP(A80,ha_antibody_complexes!A:H,8,FALSE)</f>
        <v>Homo sapiens</v>
      </c>
      <c r="F80" t="str">
        <f>VLOOKUP(E80,species_dict!A:B,2,FALSE)</f>
        <v>human</v>
      </c>
    </row>
    <row r="81" spans="1:6" x14ac:dyDescent="0.2">
      <c r="A81" t="s">
        <v>144</v>
      </c>
      <c r="B81" t="s">
        <v>293</v>
      </c>
      <c r="C81">
        <v>212</v>
      </c>
      <c r="D81" t="s">
        <v>364</v>
      </c>
      <c r="E81" t="str">
        <f>VLOOKUP(A81,ha_antibody_complexes!A:H,8,FALSE)</f>
        <v>Homo sapiens</v>
      </c>
      <c r="F81" t="str">
        <f>VLOOKUP(E81,species_dict!A:B,2,FALSE)</f>
        <v>human</v>
      </c>
    </row>
    <row r="82" spans="1:6" x14ac:dyDescent="0.2">
      <c r="A82" t="s">
        <v>144</v>
      </c>
      <c r="B82" t="s">
        <v>295</v>
      </c>
      <c r="C82">
        <v>202</v>
      </c>
      <c r="D82" t="s">
        <v>365</v>
      </c>
      <c r="E82" t="str">
        <f>VLOOKUP(A82,ha_antibody_complexes!A:H,8,FALSE)</f>
        <v>Homo sapiens</v>
      </c>
      <c r="F82" t="str">
        <f>VLOOKUP(E82,species_dict!A:B,2,FALSE)</f>
        <v>human</v>
      </c>
    </row>
    <row r="83" spans="1:6" x14ac:dyDescent="0.2">
      <c r="A83" t="s">
        <v>150</v>
      </c>
      <c r="B83" t="s">
        <v>313</v>
      </c>
      <c r="C83">
        <v>212</v>
      </c>
      <c r="D83" t="s">
        <v>366</v>
      </c>
      <c r="E83" t="str">
        <f>VLOOKUP(A83,ha_antibody_complexes!A:H,8,FALSE)</f>
        <v>Homo sapiens</v>
      </c>
      <c r="F83" t="str">
        <f>VLOOKUP(E83,species_dict!A:B,2,FALSE)</f>
        <v>human</v>
      </c>
    </row>
    <row r="84" spans="1:6" x14ac:dyDescent="0.2">
      <c r="A84" t="s">
        <v>150</v>
      </c>
      <c r="B84" t="s">
        <v>345</v>
      </c>
      <c r="C84">
        <v>213</v>
      </c>
      <c r="D84" t="s">
        <v>367</v>
      </c>
      <c r="E84" t="str">
        <f>VLOOKUP(A84,ha_antibody_complexes!A:H,8,FALSE)</f>
        <v>Homo sapiens</v>
      </c>
      <c r="F84" t="str">
        <f>VLOOKUP(E84,species_dict!A:B,2,FALSE)</f>
        <v>human</v>
      </c>
    </row>
    <row r="85" spans="1:6" x14ac:dyDescent="0.2">
      <c r="A85" t="s">
        <v>150</v>
      </c>
      <c r="B85" t="s">
        <v>335</v>
      </c>
      <c r="C85">
        <v>208</v>
      </c>
      <c r="D85" t="s">
        <v>368</v>
      </c>
      <c r="E85" t="str">
        <f>VLOOKUP(A85,ha_antibody_complexes!A:H,8,FALSE)</f>
        <v>Homo sapiens</v>
      </c>
      <c r="F85" t="str">
        <f>VLOOKUP(E85,species_dict!A:B,2,FALSE)</f>
        <v>human</v>
      </c>
    </row>
    <row r="86" spans="1:6" x14ac:dyDescent="0.2">
      <c r="A86" t="s">
        <v>155</v>
      </c>
      <c r="B86" t="s">
        <v>291</v>
      </c>
      <c r="C86">
        <v>208</v>
      </c>
      <c r="D86" t="s">
        <v>369</v>
      </c>
      <c r="E86" t="str">
        <f>VLOOKUP(A86,ha_antibody_complexes!A:H,8,FALSE)</f>
        <v>Homo sapiens</v>
      </c>
      <c r="F86" t="str">
        <f>VLOOKUP(E86,species_dict!A:B,2,FALSE)</f>
        <v>human</v>
      </c>
    </row>
    <row r="87" spans="1:6" x14ac:dyDescent="0.2">
      <c r="A87" t="s">
        <v>155</v>
      </c>
      <c r="B87" t="s">
        <v>293</v>
      </c>
      <c r="C87">
        <v>212</v>
      </c>
      <c r="D87" t="s">
        <v>370</v>
      </c>
      <c r="E87" t="str">
        <f>VLOOKUP(A87,ha_antibody_complexes!A:H,8,FALSE)</f>
        <v>Homo sapiens</v>
      </c>
      <c r="F87" t="str">
        <f>VLOOKUP(E87,species_dict!A:B,2,FALSE)</f>
        <v>human</v>
      </c>
    </row>
    <row r="88" spans="1:6" x14ac:dyDescent="0.2">
      <c r="A88" t="s">
        <v>155</v>
      </c>
      <c r="B88" t="s">
        <v>295</v>
      </c>
      <c r="C88">
        <v>231</v>
      </c>
      <c r="D88" t="s">
        <v>371</v>
      </c>
      <c r="E88" t="str">
        <f>VLOOKUP(A88,ha_antibody_complexes!A:H,8,FALSE)</f>
        <v>Homo sapiens</v>
      </c>
      <c r="F88" t="str">
        <f>VLOOKUP(E88,species_dict!A:B,2,FALSE)</f>
        <v>human</v>
      </c>
    </row>
    <row r="89" spans="1:6" x14ac:dyDescent="0.2">
      <c r="A89" t="s">
        <v>161</v>
      </c>
      <c r="B89" t="s">
        <v>291</v>
      </c>
      <c r="C89">
        <v>209</v>
      </c>
      <c r="D89" t="s">
        <v>372</v>
      </c>
      <c r="E89" t="str">
        <f>VLOOKUP(A89,ha_antibody_complexes!A:H,8,FALSE)</f>
        <v>Homo sapiens</v>
      </c>
      <c r="F89" t="str">
        <f>VLOOKUP(E89,species_dict!A:B,2,FALSE)</f>
        <v>human</v>
      </c>
    </row>
    <row r="90" spans="1:6" x14ac:dyDescent="0.2">
      <c r="A90" t="s">
        <v>161</v>
      </c>
      <c r="B90" t="s">
        <v>293</v>
      </c>
      <c r="C90">
        <v>212</v>
      </c>
      <c r="D90" t="s">
        <v>373</v>
      </c>
      <c r="E90" t="str">
        <f>VLOOKUP(A90,ha_antibody_complexes!A:H,8,FALSE)</f>
        <v>Homo sapiens</v>
      </c>
      <c r="F90" t="str">
        <f>VLOOKUP(E90,species_dict!A:B,2,FALSE)</f>
        <v>human</v>
      </c>
    </row>
    <row r="91" spans="1:6" x14ac:dyDescent="0.2">
      <c r="A91" t="s">
        <v>161</v>
      </c>
      <c r="B91" t="s">
        <v>295</v>
      </c>
      <c r="C91">
        <v>232</v>
      </c>
      <c r="D91" t="s">
        <v>374</v>
      </c>
      <c r="E91" t="str">
        <f>VLOOKUP(A91,ha_antibody_complexes!A:H,8,FALSE)</f>
        <v>Homo sapiens</v>
      </c>
      <c r="F91" t="str">
        <f>VLOOKUP(E91,species_dict!A:B,2,FALSE)</f>
        <v>human</v>
      </c>
    </row>
    <row r="92" spans="1:6" x14ac:dyDescent="0.2">
      <c r="A92" t="s">
        <v>165</v>
      </c>
      <c r="B92" t="s">
        <v>291</v>
      </c>
      <c r="C92">
        <v>207</v>
      </c>
      <c r="D92" t="s">
        <v>375</v>
      </c>
      <c r="E92" t="str">
        <f>VLOOKUP(A92,ha_antibody_complexes!A:H,8,FALSE)</f>
        <v>Homo sapiens</v>
      </c>
      <c r="F92" t="str">
        <f>VLOOKUP(E92,species_dict!A:B,2,FALSE)</f>
        <v>human</v>
      </c>
    </row>
    <row r="93" spans="1:6" x14ac:dyDescent="0.2">
      <c r="A93" t="s">
        <v>165</v>
      </c>
      <c r="B93" t="s">
        <v>293</v>
      </c>
      <c r="C93">
        <v>212</v>
      </c>
      <c r="D93" t="s">
        <v>373</v>
      </c>
      <c r="E93" t="str">
        <f>VLOOKUP(A93,ha_antibody_complexes!A:H,8,FALSE)</f>
        <v>Homo sapiens</v>
      </c>
      <c r="F93" t="str">
        <f>VLOOKUP(E93,species_dict!A:B,2,FALSE)</f>
        <v>human</v>
      </c>
    </row>
    <row r="94" spans="1:6" x14ac:dyDescent="0.2">
      <c r="A94" t="s">
        <v>165</v>
      </c>
      <c r="B94" t="s">
        <v>295</v>
      </c>
      <c r="C94">
        <v>231</v>
      </c>
      <c r="D94" t="s">
        <v>376</v>
      </c>
      <c r="E94" t="str">
        <f>VLOOKUP(A94,ha_antibody_complexes!A:H,8,FALSE)</f>
        <v>Homo sapiens</v>
      </c>
      <c r="F94" t="str">
        <f>VLOOKUP(E94,species_dict!A:B,2,FALSE)</f>
        <v>human</v>
      </c>
    </row>
    <row r="95" spans="1:6" x14ac:dyDescent="0.2">
      <c r="A95" t="s">
        <v>165</v>
      </c>
      <c r="B95" t="s">
        <v>291</v>
      </c>
      <c r="C95">
        <v>207</v>
      </c>
      <c r="D95" t="s">
        <v>375</v>
      </c>
      <c r="E95" t="str">
        <f>VLOOKUP(A95,ha_antibody_complexes!A:H,8,FALSE)</f>
        <v>Homo sapiens</v>
      </c>
      <c r="F95" t="str">
        <f>VLOOKUP(E95,species_dict!A:B,2,FALSE)</f>
        <v>human</v>
      </c>
    </row>
    <row r="96" spans="1:6" x14ac:dyDescent="0.2">
      <c r="A96" t="s">
        <v>165</v>
      </c>
      <c r="B96" t="s">
        <v>293</v>
      </c>
      <c r="C96">
        <v>212</v>
      </c>
      <c r="D96" t="s">
        <v>373</v>
      </c>
      <c r="E96" t="str">
        <f>VLOOKUP(A96,ha_antibody_complexes!A:H,8,FALSE)</f>
        <v>Homo sapiens</v>
      </c>
      <c r="F96" t="str">
        <f>VLOOKUP(E96,species_dict!A:B,2,FALSE)</f>
        <v>human</v>
      </c>
    </row>
    <row r="97" spans="1:6" x14ac:dyDescent="0.2">
      <c r="A97" t="s">
        <v>165</v>
      </c>
      <c r="B97" t="s">
        <v>295</v>
      </c>
      <c r="C97">
        <v>231</v>
      </c>
      <c r="D97" t="s">
        <v>376</v>
      </c>
      <c r="E97" t="str">
        <f>VLOOKUP(A97,ha_antibody_complexes!A:H,8,FALSE)</f>
        <v>Homo sapiens</v>
      </c>
      <c r="F97" t="str">
        <f>VLOOKUP(E97,species_dict!A:B,2,FALSE)</f>
        <v>human</v>
      </c>
    </row>
    <row r="98" spans="1:6" x14ac:dyDescent="0.2">
      <c r="A98" t="s">
        <v>165</v>
      </c>
      <c r="B98" t="s">
        <v>291</v>
      </c>
      <c r="C98">
        <v>207</v>
      </c>
      <c r="D98" t="s">
        <v>377</v>
      </c>
      <c r="E98" t="str">
        <f>VLOOKUP(A98,ha_antibody_complexes!A:H,8,FALSE)</f>
        <v>Homo sapiens</v>
      </c>
      <c r="F98" t="str">
        <f>VLOOKUP(E98,species_dict!A:B,2,FALSE)</f>
        <v>human</v>
      </c>
    </row>
    <row r="99" spans="1:6" x14ac:dyDescent="0.2">
      <c r="A99" t="s">
        <v>165</v>
      </c>
      <c r="B99" t="s">
        <v>293</v>
      </c>
      <c r="C99">
        <v>212</v>
      </c>
      <c r="D99" t="s">
        <v>373</v>
      </c>
      <c r="E99" t="str">
        <f>VLOOKUP(A99,ha_antibody_complexes!A:H,8,FALSE)</f>
        <v>Homo sapiens</v>
      </c>
      <c r="F99" t="str">
        <f>VLOOKUP(E99,species_dict!A:B,2,FALSE)</f>
        <v>human</v>
      </c>
    </row>
    <row r="100" spans="1:6" x14ac:dyDescent="0.2">
      <c r="A100" t="s">
        <v>165</v>
      </c>
      <c r="B100" t="s">
        <v>295</v>
      </c>
      <c r="C100">
        <v>231</v>
      </c>
      <c r="D100" t="s">
        <v>376</v>
      </c>
      <c r="E100" t="str">
        <f>VLOOKUP(A100,ha_antibody_complexes!A:H,8,FALSE)</f>
        <v>Homo sapiens</v>
      </c>
      <c r="F100" t="str">
        <f>VLOOKUP(E100,species_dict!A:B,2,FALSE)</f>
        <v>human</v>
      </c>
    </row>
    <row r="101" spans="1:6" x14ac:dyDescent="0.2">
      <c r="A101" t="s">
        <v>165</v>
      </c>
      <c r="B101" t="s">
        <v>291</v>
      </c>
      <c r="C101">
        <v>207</v>
      </c>
      <c r="D101" t="s">
        <v>378</v>
      </c>
      <c r="E101" t="str">
        <f>VLOOKUP(A101,ha_antibody_complexes!A:H,8,FALSE)</f>
        <v>Homo sapiens</v>
      </c>
      <c r="F101" t="str">
        <f>VLOOKUP(E101,species_dict!A:B,2,FALSE)</f>
        <v>human</v>
      </c>
    </row>
    <row r="102" spans="1:6" x14ac:dyDescent="0.2">
      <c r="A102" t="s">
        <v>165</v>
      </c>
      <c r="B102" t="s">
        <v>293</v>
      </c>
      <c r="C102">
        <v>212</v>
      </c>
      <c r="D102" t="s">
        <v>373</v>
      </c>
      <c r="E102" t="str">
        <f>VLOOKUP(A102,ha_antibody_complexes!A:H,8,FALSE)</f>
        <v>Homo sapiens</v>
      </c>
      <c r="F102" t="str">
        <f>VLOOKUP(E102,species_dict!A:B,2,FALSE)</f>
        <v>human</v>
      </c>
    </row>
    <row r="103" spans="1:6" x14ac:dyDescent="0.2">
      <c r="A103" t="s">
        <v>165</v>
      </c>
      <c r="B103" t="s">
        <v>295</v>
      </c>
      <c r="C103">
        <v>231</v>
      </c>
      <c r="D103" t="s">
        <v>376</v>
      </c>
      <c r="E103" t="str">
        <f>VLOOKUP(A103,ha_antibody_complexes!A:H,8,FALSE)</f>
        <v>Homo sapiens</v>
      </c>
      <c r="F103" t="str">
        <f>VLOOKUP(E103,species_dict!A:B,2,FALSE)</f>
        <v>human</v>
      </c>
    </row>
    <row r="104" spans="1:6" x14ac:dyDescent="0.2">
      <c r="A104" t="s">
        <v>169</v>
      </c>
      <c r="B104" t="s">
        <v>291</v>
      </c>
      <c r="C104">
        <v>212</v>
      </c>
      <c r="D104" t="s">
        <v>379</v>
      </c>
      <c r="E104" t="str">
        <f>VLOOKUP(A104,ha_antibody_complexes!A:H,8,FALSE)</f>
        <v>Homo sapiens</v>
      </c>
      <c r="F104" t="str">
        <f>VLOOKUP(E104,species_dict!A:B,2,FALSE)</f>
        <v>human</v>
      </c>
    </row>
    <row r="105" spans="1:6" x14ac:dyDescent="0.2">
      <c r="A105" t="s">
        <v>169</v>
      </c>
      <c r="B105" t="s">
        <v>293</v>
      </c>
      <c r="C105">
        <v>213</v>
      </c>
      <c r="D105" t="s">
        <v>380</v>
      </c>
      <c r="E105" t="str">
        <f>VLOOKUP(A105,ha_antibody_complexes!A:H,8,FALSE)</f>
        <v>Homo sapiens</v>
      </c>
      <c r="F105" t="str">
        <f>VLOOKUP(E105,species_dict!A:B,2,FALSE)</f>
        <v>human</v>
      </c>
    </row>
    <row r="106" spans="1:6" x14ac:dyDescent="0.2">
      <c r="A106" t="s">
        <v>169</v>
      </c>
      <c r="B106" t="s">
        <v>295</v>
      </c>
      <c r="C106">
        <v>233</v>
      </c>
      <c r="D106" t="s">
        <v>381</v>
      </c>
      <c r="E106" t="str">
        <f>VLOOKUP(A106,ha_antibody_complexes!A:H,8,FALSE)</f>
        <v>Homo sapiens</v>
      </c>
      <c r="F106" t="str">
        <f>VLOOKUP(E106,species_dict!A:B,2,FALSE)</f>
        <v>human</v>
      </c>
    </row>
    <row r="107" spans="1:6" x14ac:dyDescent="0.2">
      <c r="A107" t="s">
        <v>173</v>
      </c>
      <c r="B107" t="s">
        <v>291</v>
      </c>
      <c r="C107">
        <v>215</v>
      </c>
      <c r="D107" t="s">
        <v>382</v>
      </c>
      <c r="E107" t="str">
        <f>VLOOKUP(A107,ha_antibody_complexes!A:H,8,FALSE)</f>
        <v>Homo sapiens</v>
      </c>
      <c r="F107" t="str">
        <f>VLOOKUP(E107,species_dict!A:B,2,FALSE)</f>
        <v>human</v>
      </c>
    </row>
    <row r="108" spans="1:6" x14ac:dyDescent="0.2">
      <c r="A108" t="s">
        <v>173</v>
      </c>
      <c r="B108" t="s">
        <v>315</v>
      </c>
      <c r="C108">
        <v>211</v>
      </c>
      <c r="D108" t="s">
        <v>383</v>
      </c>
      <c r="E108" t="str">
        <f>VLOOKUP(A108,ha_antibody_complexes!A:H,8,FALSE)</f>
        <v>Homo sapiens</v>
      </c>
      <c r="F108" t="str">
        <f>VLOOKUP(E108,species_dict!A:B,2,FALSE)</f>
        <v>human</v>
      </c>
    </row>
    <row r="109" spans="1:6" x14ac:dyDescent="0.2">
      <c r="A109" t="s">
        <v>173</v>
      </c>
      <c r="B109" t="s">
        <v>384</v>
      </c>
      <c r="C109">
        <v>232</v>
      </c>
      <c r="D109" t="s">
        <v>385</v>
      </c>
      <c r="E109" t="str">
        <f>VLOOKUP(A109,ha_antibody_complexes!A:H,8,FALSE)</f>
        <v>Homo sapiens</v>
      </c>
      <c r="F109" t="str">
        <f>VLOOKUP(E109,species_dict!A:B,2,FALSE)</f>
        <v>human</v>
      </c>
    </row>
    <row r="110" spans="1:6" x14ac:dyDescent="0.2">
      <c r="A110" t="s">
        <v>179</v>
      </c>
      <c r="B110" t="s">
        <v>291</v>
      </c>
      <c r="C110">
        <v>212</v>
      </c>
      <c r="D110" t="s">
        <v>379</v>
      </c>
      <c r="E110" t="str">
        <f>VLOOKUP(A110,ha_antibody_complexes!A:H,8,FALSE)</f>
        <v>Homo sapiens</v>
      </c>
      <c r="F110" t="str">
        <f>VLOOKUP(E110,species_dict!A:B,2,FALSE)</f>
        <v>human</v>
      </c>
    </row>
    <row r="111" spans="1:6" x14ac:dyDescent="0.2">
      <c r="A111" t="s">
        <v>179</v>
      </c>
      <c r="B111" t="s">
        <v>293</v>
      </c>
      <c r="C111">
        <v>210</v>
      </c>
      <c r="D111" t="s">
        <v>386</v>
      </c>
      <c r="E111" t="str">
        <f>VLOOKUP(A111,ha_antibody_complexes!A:H,8,FALSE)</f>
        <v>Homo sapiens</v>
      </c>
      <c r="F111" t="str">
        <f>VLOOKUP(E111,species_dict!A:B,2,FALSE)</f>
        <v>human</v>
      </c>
    </row>
    <row r="112" spans="1:6" x14ac:dyDescent="0.2">
      <c r="A112" t="s">
        <v>179</v>
      </c>
      <c r="B112" t="s">
        <v>295</v>
      </c>
      <c r="C112">
        <v>231</v>
      </c>
      <c r="D112" t="s">
        <v>387</v>
      </c>
      <c r="E112" t="str">
        <f>VLOOKUP(A112,ha_antibody_complexes!A:H,8,FALSE)</f>
        <v>Homo sapiens</v>
      </c>
      <c r="F112" t="str">
        <f>VLOOKUP(E112,species_dict!A:B,2,FALSE)</f>
        <v>human</v>
      </c>
    </row>
    <row r="113" spans="1:6" x14ac:dyDescent="0.2">
      <c r="A113" t="s">
        <v>184</v>
      </c>
      <c r="B113" t="s">
        <v>335</v>
      </c>
      <c r="C113">
        <v>210</v>
      </c>
      <c r="D113" t="s">
        <v>388</v>
      </c>
      <c r="E113" t="str">
        <f>VLOOKUP(A113,ha_antibody_complexes!A:H,8,FALSE)</f>
        <v>Homo sapiens</v>
      </c>
      <c r="F113" t="str">
        <f>VLOOKUP(E113,species_dict!A:B,2,FALSE)</f>
        <v>human</v>
      </c>
    </row>
    <row r="114" spans="1:6" x14ac:dyDescent="0.2">
      <c r="A114" t="s">
        <v>184</v>
      </c>
      <c r="B114" t="s">
        <v>313</v>
      </c>
      <c r="C114">
        <v>208</v>
      </c>
      <c r="D114" t="s">
        <v>389</v>
      </c>
      <c r="E114" t="str">
        <f>VLOOKUP(A114,ha_antibody_complexes!A:H,8,FALSE)</f>
        <v>Homo sapiens</v>
      </c>
      <c r="F114" t="str">
        <f>VLOOKUP(E114,species_dict!A:B,2,FALSE)</f>
        <v>human</v>
      </c>
    </row>
    <row r="115" spans="1:6" x14ac:dyDescent="0.2">
      <c r="A115" t="s">
        <v>184</v>
      </c>
      <c r="B115" t="s">
        <v>345</v>
      </c>
      <c r="C115">
        <v>215</v>
      </c>
      <c r="D115" t="s">
        <v>390</v>
      </c>
      <c r="E115" t="str">
        <f>VLOOKUP(A115,ha_antibody_complexes!A:H,8,FALSE)</f>
        <v>Homo sapiens</v>
      </c>
      <c r="F115" t="str">
        <f>VLOOKUP(E115,species_dict!A:B,2,FALSE)</f>
        <v>human</v>
      </c>
    </row>
    <row r="116" spans="1:6" x14ac:dyDescent="0.2">
      <c r="A116" t="s">
        <v>191</v>
      </c>
      <c r="B116" t="s">
        <v>291</v>
      </c>
      <c r="C116">
        <v>211</v>
      </c>
      <c r="D116" t="s">
        <v>391</v>
      </c>
      <c r="E116" t="str">
        <f>VLOOKUP(A116,ha_antibody_complexes!A:H,8,FALSE)</f>
        <v>Homo sapiens</v>
      </c>
      <c r="F116" t="str">
        <f>VLOOKUP(E116,species_dict!A:B,2,FALSE)</f>
        <v>human</v>
      </c>
    </row>
    <row r="117" spans="1:6" x14ac:dyDescent="0.2">
      <c r="A117" t="s">
        <v>191</v>
      </c>
      <c r="B117" t="s">
        <v>315</v>
      </c>
      <c r="C117">
        <v>211</v>
      </c>
      <c r="D117" t="s">
        <v>392</v>
      </c>
      <c r="E117" t="str">
        <f>VLOOKUP(A117,ha_antibody_complexes!A:H,8,FALSE)</f>
        <v>Homo sapiens</v>
      </c>
      <c r="F117" t="str">
        <f>VLOOKUP(E117,species_dict!A:B,2,FALSE)</f>
        <v>human</v>
      </c>
    </row>
    <row r="118" spans="1:6" x14ac:dyDescent="0.2">
      <c r="A118" t="s">
        <v>191</v>
      </c>
      <c r="B118" t="s">
        <v>335</v>
      </c>
      <c r="C118">
        <v>222</v>
      </c>
      <c r="D118" t="s">
        <v>393</v>
      </c>
      <c r="E118" t="str">
        <f>VLOOKUP(A118,ha_antibody_complexes!A:H,8,FALSE)</f>
        <v>Homo sapiens</v>
      </c>
      <c r="F118" t="str">
        <f>VLOOKUP(E118,species_dict!A:B,2,FALSE)</f>
        <v>human</v>
      </c>
    </row>
    <row r="119" spans="1:6" x14ac:dyDescent="0.2">
      <c r="A119" t="s">
        <v>195</v>
      </c>
      <c r="B119" t="s">
        <v>335</v>
      </c>
      <c r="C119">
        <v>487</v>
      </c>
      <c r="D119" t="s">
        <v>394</v>
      </c>
      <c r="E119" t="str">
        <f>VLOOKUP(A119,ha_antibody_complexes!A:H,8,FALSE)</f>
        <v>Macaca Fascicularis</v>
      </c>
      <c r="F119" t="str">
        <f>VLOOKUP(E119,species_dict!A:B,2,FALSE)</f>
        <v>rhesus</v>
      </c>
    </row>
    <row r="120" spans="1:6" x14ac:dyDescent="0.2">
      <c r="A120" t="s">
        <v>195</v>
      </c>
      <c r="B120" t="s">
        <v>293</v>
      </c>
      <c r="C120">
        <v>107</v>
      </c>
      <c r="D120" t="s">
        <v>395</v>
      </c>
      <c r="E120" t="str">
        <f>VLOOKUP(A120,ha_antibody_complexes!A:H,8,FALSE)</f>
        <v>Macaca Fascicularis</v>
      </c>
      <c r="F120" t="str">
        <f>VLOOKUP(E120,species_dict!A:B,2,FALSE)</f>
        <v>rhesus</v>
      </c>
    </row>
    <row r="121" spans="1:6" x14ac:dyDescent="0.2">
      <c r="A121" t="s">
        <v>195</v>
      </c>
      <c r="B121" t="s">
        <v>295</v>
      </c>
      <c r="C121">
        <v>125</v>
      </c>
      <c r="D121" t="s">
        <v>396</v>
      </c>
      <c r="E121" t="str">
        <f>VLOOKUP(A121,ha_antibody_complexes!A:H,8,FALSE)</f>
        <v>Macaca Fascicularis</v>
      </c>
      <c r="F121" t="str">
        <f>VLOOKUP(E121,species_dict!A:B,2,FALSE)</f>
        <v>rhesus</v>
      </c>
    </row>
    <row r="122" spans="1:6" x14ac:dyDescent="0.2">
      <c r="A122" t="s">
        <v>203</v>
      </c>
      <c r="B122" t="s">
        <v>291</v>
      </c>
      <c r="C122">
        <v>214</v>
      </c>
      <c r="D122" t="s">
        <v>397</v>
      </c>
      <c r="E122" t="str">
        <f>VLOOKUP(A122,ha_antibody_complexes!A:H,8,FALSE)</f>
        <v>Homo sapiens</v>
      </c>
      <c r="F122" t="str">
        <f>VLOOKUP(E122,species_dict!A:B,2,FALSE)</f>
        <v>human</v>
      </c>
    </row>
    <row r="123" spans="1:6" x14ac:dyDescent="0.2">
      <c r="A123" t="s">
        <v>203</v>
      </c>
      <c r="B123" t="s">
        <v>335</v>
      </c>
      <c r="C123">
        <v>212</v>
      </c>
      <c r="D123" t="s">
        <v>398</v>
      </c>
      <c r="E123" t="str">
        <f>VLOOKUP(A123,ha_antibody_complexes!A:H,8,FALSE)</f>
        <v>Homo sapiens</v>
      </c>
      <c r="F123" t="str">
        <f>VLOOKUP(E123,species_dict!A:B,2,FALSE)</f>
        <v>human</v>
      </c>
    </row>
    <row r="124" spans="1:6" x14ac:dyDescent="0.2">
      <c r="A124" t="s">
        <v>203</v>
      </c>
      <c r="B124" t="s">
        <v>315</v>
      </c>
      <c r="C124">
        <v>230</v>
      </c>
      <c r="D124" t="s">
        <v>399</v>
      </c>
      <c r="E124" t="str">
        <f>VLOOKUP(A124,ha_antibody_complexes!A:H,8,FALSE)</f>
        <v>Homo sapiens</v>
      </c>
      <c r="F124" t="str">
        <f>VLOOKUP(E124,species_dict!A:B,2,FALSE)</f>
        <v>human</v>
      </c>
    </row>
    <row r="125" spans="1:6" x14ac:dyDescent="0.2">
      <c r="A125" t="s">
        <v>203</v>
      </c>
      <c r="B125" t="s">
        <v>291</v>
      </c>
      <c r="C125">
        <v>214</v>
      </c>
      <c r="D125" t="s">
        <v>397</v>
      </c>
      <c r="E125" t="str">
        <f>VLOOKUP(A125,ha_antibody_complexes!A:H,8,FALSE)</f>
        <v>Homo sapiens</v>
      </c>
      <c r="F125" t="str">
        <f>VLOOKUP(E125,species_dict!A:B,2,FALSE)</f>
        <v>human</v>
      </c>
    </row>
    <row r="126" spans="1:6" x14ac:dyDescent="0.2">
      <c r="A126" t="s">
        <v>203</v>
      </c>
      <c r="B126" t="s">
        <v>335</v>
      </c>
      <c r="C126">
        <v>212</v>
      </c>
      <c r="D126" t="s">
        <v>398</v>
      </c>
      <c r="E126" t="str">
        <f>VLOOKUP(A126,ha_antibody_complexes!A:H,8,FALSE)</f>
        <v>Homo sapiens</v>
      </c>
      <c r="F126" t="str">
        <f>VLOOKUP(E126,species_dict!A:B,2,FALSE)</f>
        <v>human</v>
      </c>
    </row>
    <row r="127" spans="1:6" x14ac:dyDescent="0.2">
      <c r="A127" t="s">
        <v>203</v>
      </c>
      <c r="B127" t="s">
        <v>315</v>
      </c>
      <c r="C127">
        <v>230</v>
      </c>
      <c r="D127" t="s">
        <v>399</v>
      </c>
      <c r="E127" t="str">
        <f>VLOOKUP(A127,ha_antibody_complexes!A:H,8,FALSE)</f>
        <v>Homo sapiens</v>
      </c>
      <c r="F127" t="str">
        <f>VLOOKUP(E127,species_dict!A:B,2,FALSE)</f>
        <v>human</v>
      </c>
    </row>
    <row r="128" spans="1:6" x14ac:dyDescent="0.2">
      <c r="A128" t="s">
        <v>209</v>
      </c>
      <c r="B128" t="s">
        <v>345</v>
      </c>
      <c r="C128">
        <v>212</v>
      </c>
      <c r="D128" t="s">
        <v>379</v>
      </c>
      <c r="E128" t="str">
        <f>VLOOKUP(A128,ha_antibody_complexes!A:H,8,FALSE)</f>
        <v>Homo sapiens</v>
      </c>
      <c r="F128" t="str">
        <f>VLOOKUP(E128,species_dict!A:B,2,FALSE)</f>
        <v>human</v>
      </c>
    </row>
    <row r="129" spans="1:6" x14ac:dyDescent="0.2">
      <c r="A129" t="s">
        <v>209</v>
      </c>
      <c r="B129" t="s">
        <v>400</v>
      </c>
      <c r="C129">
        <v>218</v>
      </c>
      <c r="D129" t="s">
        <v>401</v>
      </c>
      <c r="E129" t="str">
        <f>VLOOKUP(A129,ha_antibody_complexes!A:H,8,FALSE)</f>
        <v>Homo sapiens</v>
      </c>
      <c r="F129" t="str">
        <f>VLOOKUP(E129,species_dict!A:B,2,FALSE)</f>
        <v>human</v>
      </c>
    </row>
    <row r="130" spans="1:6" x14ac:dyDescent="0.2">
      <c r="A130" t="s">
        <v>209</v>
      </c>
      <c r="B130" t="s">
        <v>313</v>
      </c>
      <c r="C130">
        <v>220</v>
      </c>
      <c r="D130" t="s">
        <v>402</v>
      </c>
      <c r="E130" t="str">
        <f>VLOOKUP(A130,ha_antibody_complexes!A:H,8,FALSE)</f>
        <v>Homo sapiens</v>
      </c>
      <c r="F130" t="str">
        <f>VLOOKUP(E130,species_dict!A:B,2,FALSE)</f>
        <v>human</v>
      </c>
    </row>
    <row r="131" spans="1:6" x14ac:dyDescent="0.2">
      <c r="A131" t="s">
        <v>214</v>
      </c>
      <c r="B131" t="s">
        <v>291</v>
      </c>
      <c r="C131">
        <v>482</v>
      </c>
      <c r="D131" t="s">
        <v>403</v>
      </c>
      <c r="E131" t="str">
        <f>VLOOKUP(A131,ha_antibody_complexes!A:H,8,FALSE)</f>
        <v>Macaca Mulatta</v>
      </c>
      <c r="F131" t="str">
        <f>VLOOKUP(E131,species_dict!A:B,2,FALSE)</f>
        <v>rhesus</v>
      </c>
    </row>
    <row r="132" spans="1:6" x14ac:dyDescent="0.2">
      <c r="A132" t="s">
        <v>214</v>
      </c>
      <c r="B132" t="s">
        <v>306</v>
      </c>
      <c r="C132">
        <v>107</v>
      </c>
      <c r="D132" t="s">
        <v>404</v>
      </c>
      <c r="E132" t="str">
        <f>VLOOKUP(A132,ha_antibody_complexes!A:H,8,FALSE)</f>
        <v>Macaca Mulatta</v>
      </c>
      <c r="F132" t="str">
        <f>VLOOKUP(E132,species_dict!A:B,2,FALSE)</f>
        <v>rhesus</v>
      </c>
    </row>
    <row r="133" spans="1:6" x14ac:dyDescent="0.2">
      <c r="A133" t="s">
        <v>214</v>
      </c>
      <c r="B133" t="s">
        <v>330</v>
      </c>
      <c r="C133">
        <v>113</v>
      </c>
      <c r="D133" t="s">
        <v>405</v>
      </c>
      <c r="E133" t="str">
        <f>VLOOKUP(A133,ha_antibody_complexes!A:H,8,FALSE)</f>
        <v>Macaca Mulatta</v>
      </c>
      <c r="F133" t="str">
        <f>VLOOKUP(E133,species_dict!A:B,2,FALSE)</f>
        <v>rhesus</v>
      </c>
    </row>
    <row r="134" spans="1:6" x14ac:dyDescent="0.2">
      <c r="A134" t="s">
        <v>222</v>
      </c>
      <c r="B134" t="s">
        <v>315</v>
      </c>
      <c r="C134">
        <v>214</v>
      </c>
      <c r="D134" t="s">
        <v>406</v>
      </c>
      <c r="E134" t="str">
        <f>VLOOKUP(A134,ha_antibody_complexes!A:H,8,FALSE)</f>
        <v>Mus musculus</v>
      </c>
      <c r="F134" t="str">
        <f>VLOOKUP(E134,species_dict!A:B,2,FALSE)</f>
        <v>mouse</v>
      </c>
    </row>
    <row r="135" spans="1:6" x14ac:dyDescent="0.2">
      <c r="A135" t="s">
        <v>222</v>
      </c>
      <c r="B135" t="s">
        <v>345</v>
      </c>
      <c r="C135">
        <v>215</v>
      </c>
      <c r="D135" t="s">
        <v>407</v>
      </c>
      <c r="E135" t="str">
        <f>VLOOKUP(A135,ha_antibody_complexes!A:H,8,FALSE)</f>
        <v>Mus musculus</v>
      </c>
      <c r="F135" t="str">
        <f>VLOOKUP(E135,species_dict!A:B,2,FALSE)</f>
        <v>mouse</v>
      </c>
    </row>
    <row r="136" spans="1:6" x14ac:dyDescent="0.2">
      <c r="A136" t="s">
        <v>222</v>
      </c>
      <c r="B136" t="s">
        <v>335</v>
      </c>
      <c r="C136">
        <v>217</v>
      </c>
      <c r="D136" t="s">
        <v>408</v>
      </c>
      <c r="E136" t="str">
        <f>VLOOKUP(A136,ha_antibody_complexes!A:H,8,FALSE)</f>
        <v>Mus musculus</v>
      </c>
      <c r="F136" t="str">
        <f>VLOOKUP(E136,species_dict!A:B,2,FALSE)</f>
        <v>mouse</v>
      </c>
    </row>
    <row r="137" spans="1:6" x14ac:dyDescent="0.2">
      <c r="A137" t="s">
        <v>229</v>
      </c>
      <c r="B137" t="s">
        <v>291</v>
      </c>
      <c r="C137">
        <v>496</v>
      </c>
      <c r="D137" t="s">
        <v>350</v>
      </c>
      <c r="E137" t="str">
        <f>VLOOKUP(A137,ha_antibody_complexes!A:H,8,FALSE)</f>
        <v>Mus musculus</v>
      </c>
      <c r="F137" t="str">
        <f>VLOOKUP(E137,species_dict!A:B,2,FALSE)</f>
        <v>mouse</v>
      </c>
    </row>
    <row r="138" spans="1:6" x14ac:dyDescent="0.2">
      <c r="A138" t="s">
        <v>229</v>
      </c>
      <c r="B138" t="s">
        <v>293</v>
      </c>
      <c r="C138">
        <v>216</v>
      </c>
      <c r="D138" t="s">
        <v>409</v>
      </c>
      <c r="E138" t="str">
        <f>VLOOKUP(A138,ha_antibody_complexes!A:H,8,FALSE)</f>
        <v>Mus musculus</v>
      </c>
      <c r="F138" t="str">
        <f>VLOOKUP(E138,species_dict!A:B,2,FALSE)</f>
        <v>mouse</v>
      </c>
    </row>
    <row r="139" spans="1:6" x14ac:dyDescent="0.2">
      <c r="A139" t="s">
        <v>229</v>
      </c>
      <c r="B139" t="s">
        <v>295</v>
      </c>
      <c r="C139">
        <v>219</v>
      </c>
      <c r="D139" t="s">
        <v>410</v>
      </c>
      <c r="E139" t="str">
        <f>VLOOKUP(A139,ha_antibody_complexes!A:H,8,FALSE)</f>
        <v>Mus musculus</v>
      </c>
      <c r="F139" t="str">
        <f>VLOOKUP(E139,species_dict!A:B,2,FALSE)</f>
        <v>mouse</v>
      </c>
    </row>
    <row r="140" spans="1:6" x14ac:dyDescent="0.2">
      <c r="A140" t="s">
        <v>229</v>
      </c>
      <c r="B140" t="s">
        <v>291</v>
      </c>
      <c r="C140">
        <v>496</v>
      </c>
      <c r="D140" t="s">
        <v>350</v>
      </c>
      <c r="E140" t="str">
        <f>VLOOKUP(A140,ha_antibody_complexes!A:H,8,FALSE)</f>
        <v>Mus musculus</v>
      </c>
      <c r="F140" t="str">
        <f>VLOOKUP(E140,species_dict!A:B,2,FALSE)</f>
        <v>mouse</v>
      </c>
    </row>
    <row r="141" spans="1:6" x14ac:dyDescent="0.2">
      <c r="A141" t="s">
        <v>229</v>
      </c>
      <c r="B141" t="s">
        <v>293</v>
      </c>
      <c r="C141">
        <v>216</v>
      </c>
      <c r="D141" t="s">
        <v>409</v>
      </c>
      <c r="E141" t="str">
        <f>VLOOKUP(A141,ha_antibody_complexes!A:H,8,FALSE)</f>
        <v>Mus musculus</v>
      </c>
      <c r="F141" t="str">
        <f>VLOOKUP(E141,species_dict!A:B,2,FALSE)</f>
        <v>mouse</v>
      </c>
    </row>
    <row r="142" spans="1:6" x14ac:dyDescent="0.2">
      <c r="A142" t="s">
        <v>229</v>
      </c>
      <c r="B142" t="s">
        <v>295</v>
      </c>
      <c r="C142">
        <v>219</v>
      </c>
      <c r="D142" t="s">
        <v>410</v>
      </c>
      <c r="E142" t="str">
        <f>VLOOKUP(A142,ha_antibody_complexes!A:H,8,FALSE)</f>
        <v>Mus musculus</v>
      </c>
      <c r="F142" t="str">
        <f>VLOOKUP(E142,species_dict!A:B,2,FALSE)</f>
        <v>mouse</v>
      </c>
    </row>
    <row r="143" spans="1:6" x14ac:dyDescent="0.2">
      <c r="A143" t="s">
        <v>235</v>
      </c>
      <c r="B143" t="s">
        <v>335</v>
      </c>
      <c r="C143">
        <v>313</v>
      </c>
      <c r="D143" t="s">
        <v>411</v>
      </c>
      <c r="E143" t="str">
        <f>VLOOKUP(A143,ha_antibody_complexes!A:H,8,FALSE)</f>
        <v>Homo sapiens</v>
      </c>
      <c r="F143" t="str">
        <f>VLOOKUP(E143,species_dict!A:B,2,FALSE)</f>
        <v>human</v>
      </c>
    </row>
    <row r="144" spans="1:6" x14ac:dyDescent="0.2">
      <c r="A144" t="s">
        <v>235</v>
      </c>
      <c r="B144" t="s">
        <v>303</v>
      </c>
      <c r="C144">
        <v>107</v>
      </c>
      <c r="D144" t="s">
        <v>412</v>
      </c>
      <c r="E144" t="str">
        <f>VLOOKUP(A144,ha_antibody_complexes!A:H,8,FALSE)</f>
        <v>Homo sapiens</v>
      </c>
      <c r="F144" t="str">
        <f>VLOOKUP(E144,species_dict!A:B,2,FALSE)</f>
        <v>human</v>
      </c>
    </row>
    <row r="145" spans="1:6" x14ac:dyDescent="0.2">
      <c r="A145" t="s">
        <v>235</v>
      </c>
      <c r="B145" t="s">
        <v>413</v>
      </c>
      <c r="C145">
        <v>111</v>
      </c>
      <c r="D145" t="s">
        <v>414</v>
      </c>
      <c r="E145" t="str">
        <f>VLOOKUP(A145,ha_antibody_complexes!A:H,8,FALSE)</f>
        <v>Homo sapiens</v>
      </c>
      <c r="F145" t="str">
        <f>VLOOKUP(E145,species_dict!A:B,2,FALSE)</f>
        <v>human</v>
      </c>
    </row>
    <row r="146" spans="1:6" x14ac:dyDescent="0.2">
      <c r="A146" t="s">
        <v>235</v>
      </c>
      <c r="B146" t="s">
        <v>335</v>
      </c>
      <c r="C146">
        <v>313</v>
      </c>
      <c r="D146" t="s">
        <v>411</v>
      </c>
      <c r="E146" t="str">
        <f>VLOOKUP(A146,ha_antibody_complexes!A:H,8,FALSE)</f>
        <v>Homo sapiens</v>
      </c>
      <c r="F146" t="str">
        <f>VLOOKUP(E146,species_dict!A:B,2,FALSE)</f>
        <v>human</v>
      </c>
    </row>
    <row r="147" spans="1:6" x14ac:dyDescent="0.2">
      <c r="A147" t="s">
        <v>235</v>
      </c>
      <c r="B147" t="s">
        <v>303</v>
      </c>
      <c r="C147">
        <v>107</v>
      </c>
      <c r="D147" t="s">
        <v>412</v>
      </c>
      <c r="E147" t="str">
        <f>VLOOKUP(A147,ha_antibody_complexes!A:H,8,FALSE)</f>
        <v>Homo sapiens</v>
      </c>
      <c r="F147" t="str">
        <f>VLOOKUP(E147,species_dict!A:B,2,FALSE)</f>
        <v>human</v>
      </c>
    </row>
    <row r="148" spans="1:6" x14ac:dyDescent="0.2">
      <c r="A148" t="s">
        <v>235</v>
      </c>
      <c r="B148" t="s">
        <v>413</v>
      </c>
      <c r="C148">
        <v>111</v>
      </c>
      <c r="D148" t="s">
        <v>414</v>
      </c>
      <c r="E148" t="str">
        <f>VLOOKUP(A148,ha_antibody_complexes!A:H,8,FALSE)</f>
        <v>Homo sapiens</v>
      </c>
      <c r="F148" t="str">
        <f>VLOOKUP(E148,species_dict!A:B,2,FALSE)</f>
        <v>human</v>
      </c>
    </row>
    <row r="149" spans="1:6" x14ac:dyDescent="0.2">
      <c r="A149" t="s">
        <v>240</v>
      </c>
      <c r="B149" t="s">
        <v>291</v>
      </c>
      <c r="C149">
        <v>489</v>
      </c>
      <c r="D149" t="s">
        <v>415</v>
      </c>
      <c r="E149" t="str">
        <f>VLOOKUP(A149,ha_antibody_complexes!A:H,8,FALSE)</f>
        <v>Homo sapiens</v>
      </c>
      <c r="F149" t="str">
        <f>VLOOKUP(E149,species_dict!A:B,2,FALSE)</f>
        <v>human</v>
      </c>
    </row>
    <row r="150" spans="1:6" x14ac:dyDescent="0.2">
      <c r="A150" t="s">
        <v>240</v>
      </c>
      <c r="B150" t="s">
        <v>293</v>
      </c>
      <c r="C150">
        <v>108</v>
      </c>
      <c r="D150" t="s">
        <v>416</v>
      </c>
      <c r="E150" t="str">
        <f>VLOOKUP(A150,ha_antibody_complexes!A:H,8,FALSE)</f>
        <v>Homo sapiens</v>
      </c>
      <c r="F150" t="str">
        <f>VLOOKUP(E150,species_dict!A:B,2,FALSE)</f>
        <v>human</v>
      </c>
    </row>
    <row r="151" spans="1:6" x14ac:dyDescent="0.2">
      <c r="A151" t="s">
        <v>240</v>
      </c>
      <c r="B151" t="s">
        <v>295</v>
      </c>
      <c r="C151">
        <v>118</v>
      </c>
      <c r="D151" t="s">
        <v>417</v>
      </c>
      <c r="E151" t="str">
        <f>VLOOKUP(A151,ha_antibody_complexes!A:H,8,FALSE)</f>
        <v>Homo sapiens</v>
      </c>
      <c r="F151" t="str">
        <f>VLOOKUP(E151,species_dict!A:B,2,FALSE)</f>
        <v>human</v>
      </c>
    </row>
    <row r="152" spans="1:6" x14ac:dyDescent="0.2">
      <c r="A152" t="s">
        <v>247</v>
      </c>
      <c r="B152" t="s">
        <v>291</v>
      </c>
      <c r="C152">
        <v>493</v>
      </c>
      <c r="D152" t="s">
        <v>418</v>
      </c>
      <c r="E152" t="str">
        <f>VLOOKUP(A152,ha_antibody_complexes!A:H,8,FALSE)</f>
        <v>Homo sapiens</v>
      </c>
      <c r="F152" t="str">
        <f>VLOOKUP(E152,species_dict!A:B,2,FALSE)</f>
        <v>human</v>
      </c>
    </row>
    <row r="153" spans="1:6" x14ac:dyDescent="0.2">
      <c r="A153" t="s">
        <v>247</v>
      </c>
      <c r="B153" t="s">
        <v>293</v>
      </c>
      <c r="C153">
        <v>107</v>
      </c>
      <c r="D153" t="s">
        <v>419</v>
      </c>
      <c r="E153" t="str">
        <f>VLOOKUP(A153,ha_antibody_complexes!A:H,8,FALSE)</f>
        <v>Homo sapiens</v>
      </c>
      <c r="F153" t="str">
        <f>VLOOKUP(E153,species_dict!A:B,2,FALSE)</f>
        <v>human</v>
      </c>
    </row>
    <row r="154" spans="1:6" x14ac:dyDescent="0.2">
      <c r="A154" t="s">
        <v>247</v>
      </c>
      <c r="B154" t="s">
        <v>295</v>
      </c>
      <c r="C154">
        <v>119</v>
      </c>
      <c r="D154" t="s">
        <v>420</v>
      </c>
      <c r="E154" t="str">
        <f>VLOOKUP(A154,ha_antibody_complexes!A:H,8,FALSE)</f>
        <v>Homo sapiens</v>
      </c>
      <c r="F154" t="str">
        <f>VLOOKUP(E154,species_dict!A:B,2,FALSE)</f>
        <v>human</v>
      </c>
    </row>
    <row r="155" spans="1:6" x14ac:dyDescent="0.2">
      <c r="A155" t="s">
        <v>254</v>
      </c>
      <c r="B155" t="s">
        <v>315</v>
      </c>
      <c r="C155">
        <v>341</v>
      </c>
      <c r="D155" t="s">
        <v>421</v>
      </c>
      <c r="E155" t="str">
        <f>VLOOKUP(A155,ha_antibody_complexes!A:H,8,FALSE)</f>
        <v>Mus musculus</v>
      </c>
      <c r="F155" t="str">
        <f>VLOOKUP(E155,species_dict!A:B,2,FALSE)</f>
        <v>mouse</v>
      </c>
    </row>
    <row r="156" spans="1:6" x14ac:dyDescent="0.2">
      <c r="A156" t="s">
        <v>254</v>
      </c>
      <c r="B156" t="s">
        <v>311</v>
      </c>
      <c r="C156">
        <v>218</v>
      </c>
      <c r="D156" t="s">
        <v>422</v>
      </c>
      <c r="E156" t="str">
        <f>VLOOKUP(A156,ha_antibody_complexes!A:H,8,FALSE)</f>
        <v>Mus musculus</v>
      </c>
      <c r="F156" t="str">
        <f>VLOOKUP(E156,species_dict!A:B,2,FALSE)</f>
        <v>mouse</v>
      </c>
    </row>
    <row r="157" spans="1:6" x14ac:dyDescent="0.2">
      <c r="A157" t="s">
        <v>254</v>
      </c>
      <c r="B157" t="s">
        <v>330</v>
      </c>
      <c r="C157">
        <v>215</v>
      </c>
      <c r="D157" t="s">
        <v>423</v>
      </c>
      <c r="E157" t="str">
        <f>VLOOKUP(A157,ha_antibody_complexes!A:H,8,FALSE)</f>
        <v>Mus musculus</v>
      </c>
      <c r="F157" t="str">
        <f>VLOOKUP(E157,species_dict!A:B,2,FALSE)</f>
        <v>mouse</v>
      </c>
    </row>
    <row r="158" spans="1:6" x14ac:dyDescent="0.2">
      <c r="A158" t="s">
        <v>254</v>
      </c>
      <c r="B158" t="s">
        <v>315</v>
      </c>
      <c r="C158">
        <v>341</v>
      </c>
      <c r="D158" t="s">
        <v>421</v>
      </c>
      <c r="E158" t="str">
        <f>VLOOKUP(A158,ha_antibody_complexes!A:H,8,FALSE)</f>
        <v>Mus musculus</v>
      </c>
      <c r="F158" t="str">
        <f>VLOOKUP(E158,species_dict!A:B,2,FALSE)</f>
        <v>mouse</v>
      </c>
    </row>
    <row r="159" spans="1:6" x14ac:dyDescent="0.2">
      <c r="A159" t="s">
        <v>254</v>
      </c>
      <c r="B159" t="s">
        <v>311</v>
      </c>
      <c r="C159">
        <v>218</v>
      </c>
      <c r="D159" t="s">
        <v>422</v>
      </c>
      <c r="E159" t="str">
        <f>VLOOKUP(A159,ha_antibody_complexes!A:H,8,FALSE)</f>
        <v>Mus musculus</v>
      </c>
      <c r="F159" t="str">
        <f>VLOOKUP(E159,species_dict!A:B,2,FALSE)</f>
        <v>mouse</v>
      </c>
    </row>
    <row r="160" spans="1:6" x14ac:dyDescent="0.2">
      <c r="A160" t="s">
        <v>254</v>
      </c>
      <c r="B160" t="s">
        <v>330</v>
      </c>
      <c r="C160">
        <v>215</v>
      </c>
      <c r="D160" t="s">
        <v>423</v>
      </c>
      <c r="E160" t="str">
        <f>VLOOKUP(A160,ha_antibody_complexes!A:H,8,FALSE)</f>
        <v>Mus musculus</v>
      </c>
      <c r="F160" t="str">
        <f>VLOOKUP(E160,species_dict!A:B,2,FALSE)</f>
        <v>mouse</v>
      </c>
    </row>
    <row r="161" spans="1:6" x14ac:dyDescent="0.2">
      <c r="A161" t="s">
        <v>259</v>
      </c>
      <c r="B161" t="s">
        <v>400</v>
      </c>
      <c r="C161">
        <v>486</v>
      </c>
      <c r="D161" t="s">
        <v>424</v>
      </c>
      <c r="E161" t="str">
        <f>VLOOKUP(A161,ha_antibody_complexes!A:H,8,FALSE)</f>
        <v>Homo sapiens</v>
      </c>
      <c r="F161" t="str">
        <f>VLOOKUP(E161,species_dict!A:B,2,FALSE)</f>
        <v>human</v>
      </c>
    </row>
    <row r="162" spans="1:6" x14ac:dyDescent="0.2">
      <c r="A162" t="s">
        <v>259</v>
      </c>
      <c r="B162" t="s">
        <v>293</v>
      </c>
      <c r="C162">
        <v>214</v>
      </c>
      <c r="D162" t="s">
        <v>425</v>
      </c>
      <c r="E162" t="str">
        <f>VLOOKUP(A162,ha_antibody_complexes!A:H,8,FALSE)</f>
        <v>Homo sapiens</v>
      </c>
      <c r="F162" t="str">
        <f>VLOOKUP(E162,species_dict!A:B,2,FALSE)</f>
        <v>human</v>
      </c>
    </row>
    <row r="163" spans="1:6" x14ac:dyDescent="0.2">
      <c r="A163" t="s">
        <v>259</v>
      </c>
      <c r="B163" t="s">
        <v>303</v>
      </c>
      <c r="C163">
        <v>229</v>
      </c>
      <c r="D163" t="s">
        <v>426</v>
      </c>
      <c r="E163" t="str">
        <f>VLOOKUP(A163,ha_antibody_complexes!A:H,8,FALSE)</f>
        <v>Homo sapiens</v>
      </c>
      <c r="F163" t="str">
        <f>VLOOKUP(E163,species_dict!A:B,2,FALSE)</f>
        <v>human</v>
      </c>
    </row>
    <row r="164" spans="1:6" x14ac:dyDescent="0.2">
      <c r="A164" t="s">
        <v>264</v>
      </c>
      <c r="B164" t="s">
        <v>291</v>
      </c>
      <c r="C164">
        <v>377</v>
      </c>
      <c r="D164" t="s">
        <v>427</v>
      </c>
      <c r="E164" t="str">
        <f>VLOOKUP(A164,ha_antibody_complexes!A:H,8,FALSE)</f>
        <v>Mus musculus</v>
      </c>
      <c r="F164" t="str">
        <f>VLOOKUP(E164,species_dict!A:B,2,FALSE)</f>
        <v>mouse</v>
      </c>
    </row>
    <row r="165" spans="1:6" x14ac:dyDescent="0.2">
      <c r="A165" t="s">
        <v>264</v>
      </c>
      <c r="B165" t="s">
        <v>295</v>
      </c>
      <c r="C165">
        <v>111</v>
      </c>
      <c r="D165" t="s">
        <v>428</v>
      </c>
      <c r="E165" t="str">
        <f>VLOOKUP(A165,ha_antibody_complexes!A:H,8,FALSE)</f>
        <v>Mus musculus</v>
      </c>
      <c r="F165" t="str">
        <f>VLOOKUP(E165,species_dict!A:B,2,FALSE)</f>
        <v>mouse</v>
      </c>
    </row>
    <row r="166" spans="1:6" x14ac:dyDescent="0.2">
      <c r="A166" t="s">
        <v>264</v>
      </c>
      <c r="B166" t="s">
        <v>400</v>
      </c>
      <c r="C166">
        <v>116</v>
      </c>
      <c r="D166" t="s">
        <v>429</v>
      </c>
      <c r="E166" t="str">
        <f>VLOOKUP(A166,ha_antibody_complexes!A:H,8,FALSE)</f>
        <v>Mus musculus</v>
      </c>
      <c r="F166" t="str">
        <f>VLOOKUP(E166,species_dict!A:B,2,FALSE)</f>
        <v>mouse</v>
      </c>
    </row>
    <row r="167" spans="1:6" x14ac:dyDescent="0.2">
      <c r="A167" t="s">
        <v>268</v>
      </c>
      <c r="B167" t="s">
        <v>291</v>
      </c>
      <c r="C167">
        <v>489</v>
      </c>
      <c r="D167" t="s">
        <v>430</v>
      </c>
      <c r="E167" t="str">
        <f>VLOOKUP(A167,ha_antibody_complexes!A:H,8,FALSE)</f>
        <v>Homo sapiens</v>
      </c>
      <c r="F167" t="str">
        <f>VLOOKUP(E167,species_dict!A:B,2,FALSE)</f>
        <v>human</v>
      </c>
    </row>
    <row r="168" spans="1:6" x14ac:dyDescent="0.2">
      <c r="A168" t="s">
        <v>268</v>
      </c>
      <c r="B168" t="s">
        <v>330</v>
      </c>
      <c r="C168">
        <v>109</v>
      </c>
      <c r="D168" t="s">
        <v>431</v>
      </c>
      <c r="E168" t="str">
        <f>VLOOKUP(A168,ha_antibody_complexes!A:H,8,FALSE)</f>
        <v>Homo sapiens</v>
      </c>
      <c r="F168" t="str">
        <f>VLOOKUP(E168,species_dict!A:B,2,FALSE)</f>
        <v>human</v>
      </c>
    </row>
    <row r="169" spans="1:6" x14ac:dyDescent="0.2">
      <c r="A169" t="s">
        <v>268</v>
      </c>
      <c r="B169" t="s">
        <v>295</v>
      </c>
      <c r="C169">
        <v>119</v>
      </c>
      <c r="D169" t="s">
        <v>432</v>
      </c>
      <c r="E169" t="str">
        <f>VLOOKUP(A169,ha_antibody_complexes!A:H,8,FALSE)</f>
        <v>Homo sapiens</v>
      </c>
      <c r="F169" t="str">
        <f>VLOOKUP(E169,species_dict!A:B,2,FALSE)</f>
        <v>human</v>
      </c>
    </row>
    <row r="170" spans="1:6" x14ac:dyDescent="0.2">
      <c r="A170" t="s">
        <v>273</v>
      </c>
      <c r="B170" t="s">
        <v>291</v>
      </c>
      <c r="C170">
        <v>478</v>
      </c>
      <c r="D170" t="s">
        <v>433</v>
      </c>
      <c r="E170" t="str">
        <f>VLOOKUP(A170,ha_antibody_complexes!A:H,8,FALSE)</f>
        <v>Homo sapiens</v>
      </c>
      <c r="F170" t="str">
        <f>VLOOKUP(E170,species_dict!A:B,2,FALSE)</f>
        <v>human</v>
      </c>
    </row>
    <row r="171" spans="1:6" x14ac:dyDescent="0.2">
      <c r="A171" t="s">
        <v>273</v>
      </c>
      <c r="B171" t="s">
        <v>345</v>
      </c>
      <c r="C171">
        <v>107</v>
      </c>
      <c r="D171" t="s">
        <v>434</v>
      </c>
      <c r="E171" t="str">
        <f>VLOOKUP(A171,ha_antibody_complexes!A:H,8,FALSE)</f>
        <v>Homo sapiens</v>
      </c>
      <c r="F171" t="str">
        <f>VLOOKUP(E171,species_dict!A:B,2,FALSE)</f>
        <v>human</v>
      </c>
    </row>
    <row r="172" spans="1:6" x14ac:dyDescent="0.2">
      <c r="A172" t="s">
        <v>273</v>
      </c>
      <c r="B172" t="s">
        <v>335</v>
      </c>
      <c r="C172">
        <v>124</v>
      </c>
      <c r="D172" t="s">
        <v>435</v>
      </c>
      <c r="E172" t="str">
        <f>VLOOKUP(A172,ha_antibody_complexes!A:H,8,FALSE)</f>
        <v>Homo sapiens</v>
      </c>
      <c r="F172" t="str">
        <f>VLOOKUP(E172,species_dict!A:B,2,FALSE)</f>
        <v>human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812D-0D1A-514C-9EFA-0D527218F864}">
  <dimension ref="A1:D15"/>
  <sheetViews>
    <sheetView workbookViewId="0">
      <selection activeCell="A12" sqref="A12"/>
    </sheetView>
  </sheetViews>
  <sheetFormatPr baseColWidth="10" defaultRowHeight="16" x14ac:dyDescent="0.2"/>
  <sheetData>
    <row r="1" spans="1:4" x14ac:dyDescent="0.2">
      <c r="A1" t="s">
        <v>443</v>
      </c>
    </row>
    <row r="2" spans="1:4" x14ac:dyDescent="0.2">
      <c r="A2" s="3"/>
      <c r="B2" t="s">
        <v>438</v>
      </c>
    </row>
    <row r="3" spans="1:4" x14ac:dyDescent="0.2">
      <c r="B3" t="s">
        <v>439</v>
      </c>
    </row>
    <row r="4" spans="1:4" x14ac:dyDescent="0.2">
      <c r="B4" t="s">
        <v>440</v>
      </c>
    </row>
    <row r="5" spans="1:4" x14ac:dyDescent="0.2">
      <c r="B5" t="s">
        <v>441</v>
      </c>
    </row>
    <row r="6" spans="1:4" x14ac:dyDescent="0.2">
      <c r="B6" t="s">
        <v>442</v>
      </c>
    </row>
    <row r="8" spans="1:4" x14ac:dyDescent="0.2">
      <c r="A8" t="s">
        <v>15</v>
      </c>
      <c r="B8" t="s">
        <v>447</v>
      </c>
    </row>
    <row r="9" spans="1:4" x14ac:dyDescent="0.2">
      <c r="A9" t="s">
        <v>138</v>
      </c>
      <c r="B9" t="s">
        <v>446</v>
      </c>
    </row>
    <row r="10" spans="1:4" x14ac:dyDescent="0.2">
      <c r="A10" t="s">
        <v>197</v>
      </c>
      <c r="B10" t="s">
        <v>445</v>
      </c>
    </row>
    <row r="11" spans="1:4" x14ac:dyDescent="0.2">
      <c r="A11" t="s">
        <v>216</v>
      </c>
      <c r="B11" t="s">
        <v>445</v>
      </c>
    </row>
    <row r="12" spans="1:4" x14ac:dyDescent="0.2">
      <c r="A12" t="s">
        <v>223</v>
      </c>
      <c r="B12" t="s">
        <v>444</v>
      </c>
    </row>
    <row r="15" spans="1:4" x14ac:dyDescent="0.2"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ha_antibody_complexes</vt:lpstr>
      <vt:lpstr>pdb_chain_sequences</vt:lpstr>
      <vt:lpstr>species_dict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 Benmaman</cp:lastModifiedBy>
  <dcterms:created xsi:type="dcterms:W3CDTF">2026-02-03T04:43:19Z</dcterms:created>
  <dcterms:modified xsi:type="dcterms:W3CDTF">2026-02-05T15:47:43Z</dcterms:modified>
</cp:coreProperties>
</file>